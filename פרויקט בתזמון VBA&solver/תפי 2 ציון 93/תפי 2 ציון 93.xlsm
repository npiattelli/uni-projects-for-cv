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etanelpiattelli/Downloads/"/>
    </mc:Choice>
  </mc:AlternateContent>
  <xr:revisionPtr revIDLastSave="0" documentId="13_ncr:1_{20424F2F-E023-0D42-B071-D16AC43A5959}" xr6:coauthVersionLast="45" xr6:coauthVersionMax="45" xr10:uidLastSave="{00000000-0000-0000-0000-000000000000}"/>
  <bookViews>
    <workbookView xWindow="0" yWindow="500" windowWidth="33600" windowHeight="19340" tabRatio="674" activeTab="15" xr2:uid="{AEEA8C2E-1158-48F3-86C1-78127681CA92}"/>
  </bookViews>
  <sheets>
    <sheet name="Input" sheetId="1" r:id="rId1"/>
    <sheet name="Summary" sheetId="2" r:id="rId2"/>
    <sheet name="Item A" sheetId="3" r:id="rId3"/>
    <sheet name="Item B" sheetId="9" r:id="rId4"/>
    <sheet name="Item D" sheetId="11" r:id="rId5"/>
    <sheet name="Item C" sheetId="10" r:id="rId6"/>
    <sheet name="Item E" sheetId="12" r:id="rId7"/>
    <sheet name="Raw G" sheetId="14" r:id="rId8"/>
    <sheet name="Raw H" sheetId="15" r:id="rId9"/>
    <sheet name="Raw I" sheetId="16" r:id="rId10"/>
    <sheet name="Raw F" sheetId="13" r:id="rId11"/>
    <sheet name="WW" sheetId="17" r:id="rId12"/>
    <sheet name="S&amp;M" sheetId="19" r:id="rId13"/>
    <sheet name="FP" sheetId="20" r:id="rId14"/>
    <sheet name="LFL" sheetId="21" r:id="rId15"/>
    <sheet name="LP" sheetId="22" r:id="rId16"/>
  </sheets>
  <externalReferences>
    <externalReference r:id="rId17"/>
  </externalReferences>
  <definedNames>
    <definedName name="B1_F">'Raw F'!$B$13:$K$13</definedName>
    <definedName name="B1_G">'Raw G'!$B$13:$K$13</definedName>
    <definedName name="B1_H">'Raw H'!$B$13:$K$13</definedName>
    <definedName name="B1_I">'Raw I'!$B$13:$K$13</definedName>
    <definedName name="B1_t">'Raw G'!$B$13:$K$13</definedName>
    <definedName name="B1t">LP!$B$11:$K$11</definedName>
    <definedName name="B2_F">'Raw F'!$B$14:$K$14</definedName>
    <definedName name="B2_G">'Raw G'!$B$14:$K$14</definedName>
    <definedName name="B2_H">'Raw H'!$B$14:$K$14</definedName>
    <definedName name="B2_I">'Raw I'!$B$14:$K$14</definedName>
    <definedName name="B2t">LP!$B$12:$K$12</definedName>
    <definedName name="D_A">Input!$B$30:$K$30</definedName>
    <definedName name="D_B">Input!$B$31:$K$31</definedName>
    <definedName name="D_C">Input!$B$32:$K$32</definedName>
    <definedName name="D_D">Input!$B$33:$K$33</definedName>
    <definedName name="D_E">Input!$B$34:$K$34</definedName>
    <definedName name="D_F">Input!$B$35:$K$35</definedName>
    <definedName name="D_G">Input!$B$36:$K$36</definedName>
    <definedName name="D_H">Input!$B$37:$K$37</definedName>
    <definedName name="D_I">Input!$B$38:$K$38</definedName>
    <definedName name="DATA_A">Input!$B$3:$H$3</definedName>
    <definedName name="DATA_B">Input!$B$4:$H$4</definedName>
    <definedName name="DATA_C">Input!$B$5:$H$5</definedName>
    <definedName name="DATA_D">Input!$B$6:$H$6</definedName>
    <definedName name="DATA_E">Input!$B$7:$H$7</definedName>
    <definedName name="DATA_F">Input!$C$11:$M$11</definedName>
    <definedName name="DATA_G">Input!$C$12:$M$12</definedName>
    <definedName name="DATA_H">Input!$C$13:$M$13</definedName>
    <definedName name="DATA_I">Input!$C$14:$M$14</definedName>
    <definedName name="DATA_LP">LP!$A$4:$L$4</definedName>
    <definedName name="DATA_LP1">LP!$A$4:$K$4</definedName>
    <definedName name="DEMAND_A">'Item A'!$B$11:$K$11</definedName>
    <definedName name="DEMAND_B">'Item B'!$B$11:$K$11</definedName>
    <definedName name="DEMAND_C">'Item C'!$B$11:$K$11</definedName>
    <definedName name="DEMAND_D">'Item D'!$B$11:$K$11</definedName>
    <definedName name="DEMAND_E">'Item E'!$B$11:$K$11</definedName>
    <definedName name="DEMAND_F">'Raw F'!$B$11:$K$11</definedName>
    <definedName name="DEMAND_G">'Raw G'!$B$11:$K$11</definedName>
    <definedName name="DEMAND_H">'Raw H'!$B$11:$K$11</definedName>
    <definedName name="DEMAND_I">'Raw I'!$B$11:$K$11</definedName>
    <definedName name="EXD_A">'Item A'!$B$6:$K$6</definedName>
    <definedName name="EXD_B">'Item B'!$B$6:$K$6</definedName>
    <definedName name="EXD_C">'Item C'!$B$6:$K$6</definedName>
    <definedName name="EXD_D">'Item D'!$B$6:$K$6</definedName>
    <definedName name="EXD_E">'Item E'!$B$6:$K$6</definedName>
    <definedName name="EXD_F">'Raw F'!$B$6:$K$6</definedName>
    <definedName name="EXD_G">'Raw G'!$B$6:$K$6</definedName>
    <definedName name="EXD_H">'Raw H'!$B$6:$K$6</definedName>
    <definedName name="EXD_I">'Raw I'!$B$6:$K$6</definedName>
    <definedName name="Final_A">Summary!$B$3:$K$3</definedName>
    <definedName name="Final_B">Summary!$B$4:$K$4</definedName>
    <definedName name="Final_C">Summary!$B$5:$K$5</definedName>
    <definedName name="Final_D">Summary!$B$6:$K$6</definedName>
    <definedName name="Final_E">Summary!$B$7:$K$7</definedName>
    <definedName name="Final_F">Summary!$B$8:$K$8</definedName>
    <definedName name="Final_G">Summary!$B$9:$K$9</definedName>
    <definedName name="Final_H">Summary!$B$10:$K$10</definedName>
    <definedName name="Final_I">Summary!$B$11:$K$11</definedName>
    <definedName name="FP_size">FP!$C$3</definedName>
    <definedName name="G">Summary!$B$10:$K$10</definedName>
    <definedName name="h_FP">FP!$B$3</definedName>
    <definedName name="h_ITEM">Input!$H$3:$H$7</definedName>
    <definedName name="h_LFL">LFL!$B$3</definedName>
    <definedName name="h_SM">'S&amp;M'!$B$3</definedName>
    <definedName name="h_WW">WW!$B$3</definedName>
    <definedName name="IND_A">'Item A'!$B$7:$K$7</definedName>
    <definedName name="IND_B">'Item B'!$B$7:$K$7</definedName>
    <definedName name="IND_C">'Item C'!$B$7:$K$7</definedName>
    <definedName name="IND_D">'Item D'!$B$7:$K$7</definedName>
    <definedName name="IND_E">'Item E'!$B$7:$K$7</definedName>
    <definedName name="IND_F">'Raw F'!$B$7:$K$7</definedName>
    <definedName name="IND_G">'Raw G'!$B$7:$K$7</definedName>
    <definedName name="IND_H">'Raw H'!$B$7:$K$7</definedName>
    <definedName name="IND_I">'Raw I'!$B$7:$K$7</definedName>
    <definedName name="INDex">WW!$C$10:$L$10</definedName>
    <definedName name="INDeX0">WW!$B$10:$K$10</definedName>
    <definedName name="Items">Input!$A$3:$A$7</definedName>
    <definedName name="k_FP">FP!$A$3</definedName>
    <definedName name="k_ITEM">Input!$F$3:$F$7</definedName>
    <definedName name="k_LFL">LFL!$A$3</definedName>
    <definedName name="k_SM">'S&amp;M'!$A$3</definedName>
    <definedName name="k_WW">WW!$A$3</definedName>
    <definedName name="L.T_ITEM">Input!$C$3:$C$7</definedName>
    <definedName name="LOT">[1]Input!$B$3:$B$9</definedName>
    <definedName name="LOTSIZE_TYPE">Input!$B$3:$B$7</definedName>
    <definedName name="min_cost">WW!$C$9:$L$9</definedName>
    <definedName name="min_cost0">WW!$B$9:$K$9</definedName>
    <definedName name="mincost">WW!$B$9:$L$9</definedName>
    <definedName name="OH_ITEM">Input!$E$3:$E$7</definedName>
    <definedName name="OLAV_A">'Item A'!$B$9:$K$9</definedName>
    <definedName name="OLAV_B">'Item B'!$B$9:$K$9</definedName>
    <definedName name="OLAV_C">'Item C'!$B$9:$K$9</definedName>
    <definedName name="OLAV_D">'Item D'!$B$9:$K$9</definedName>
    <definedName name="OLAV_E">'Item E'!$B$9:$K$9</definedName>
    <definedName name="OLAV_F">'Raw F'!$B$9:$K$9</definedName>
    <definedName name="OLAV_G">'Raw G'!$B$9:$K$9</definedName>
    <definedName name="OLAV_H">'Raw H'!$B$9:$K$9</definedName>
    <definedName name="OLAV_I">'Raw I'!$B$9:$K$9</definedName>
    <definedName name="pre">WW!$B$10:$L$10</definedName>
    <definedName name="pre_SM">'S&amp;M'!$B$9:$L$9</definedName>
    <definedName name="Q_A">'Item A'!$B$13:$K$13</definedName>
    <definedName name="Q_B">'Item B'!$B$13:$K$13</definedName>
    <definedName name="Q_C">'Item C'!$B$13:$K$13</definedName>
    <definedName name="Q_D">'Item D'!$B$13:$K$13</definedName>
    <definedName name="Q_E">'Item E'!$B$13:$K$13</definedName>
    <definedName name="Q_F">'Raw F'!$B$15:$K$15</definedName>
    <definedName name="Q_FP">FP!$B$8:$K$8</definedName>
    <definedName name="Q_G">'Raw G'!$B$15:$K$15</definedName>
    <definedName name="Q_H">'Raw H'!$B$15:$K$15</definedName>
    <definedName name="Q_I">'Raw I'!$B$15:$K$15</definedName>
    <definedName name="Q_LFL">LFL!$B$8:$K$8</definedName>
    <definedName name="Q_LP">LP!$B$24:$K$24</definedName>
    <definedName name="Q_SM">'S&amp;M'!$B$8:$L$8</definedName>
    <definedName name="Q_SM1">'S&amp;M'!$C$8:$L$8</definedName>
    <definedName name="Q_WW">WW!$B$8:$L$8</definedName>
    <definedName name="Q_WW0">WW!$B$8:$K$8</definedName>
    <definedName name="Q_WW1">WW!$C$8:$L$8</definedName>
    <definedName name="R_A">'Item A'!$B$8:$K$8</definedName>
    <definedName name="R_B">'Item B'!$B$8:$K$8</definedName>
    <definedName name="R_C">'Item C'!$B$8:$K$8</definedName>
    <definedName name="R_D">'Item D'!$B$8:$K$8</definedName>
    <definedName name="R_E">'Item E'!$B$8:$K$8</definedName>
    <definedName name="R_F">'Raw F'!$B$8:$K$8</definedName>
    <definedName name="R_G">'Raw G'!$B$8:$K$8</definedName>
    <definedName name="R_H">'Raw H'!$B$8:$K$8</definedName>
    <definedName name="R_I">'Raw I'!$B$8:$K$8</definedName>
    <definedName name="RAW_TYPE">Input!$A$11:$B$14</definedName>
    <definedName name="solver_adj" localSheetId="15" hidden="1">LP!$B$11:$K$18</definedName>
    <definedName name="solver_cvg" localSheetId="15" hidden="1">0.0001</definedName>
    <definedName name="solver_drv" localSheetId="15" hidden="1">1</definedName>
    <definedName name="solver_eng" localSheetId="15" hidden="1">2</definedName>
    <definedName name="solver_est" localSheetId="15" hidden="1">1</definedName>
    <definedName name="solver_itr" localSheetId="15" hidden="1">2147483647</definedName>
    <definedName name="solver_lhs1" localSheetId="15" hidden="1">LP!$B$11:$K$12</definedName>
    <definedName name="solver_lhs10" localSheetId="15" hidden="1">LP!$B$22:$K$22</definedName>
    <definedName name="solver_lhs11" localSheetId="15" hidden="1">LP!$B$23:$K$23</definedName>
    <definedName name="solver_lhs12" localSheetId="15" hidden="1">LP!$B$25:$K$25</definedName>
    <definedName name="solver_lhs13" localSheetId="15" hidden="1">LP!$B$26:$K$26</definedName>
    <definedName name="solver_lhs14" localSheetId="15" hidden="1">LP!$B$25:$K$25</definedName>
    <definedName name="solver_lhs15" localSheetId="15" hidden="1">LP!#REF!</definedName>
    <definedName name="solver_lhs16" localSheetId="15" hidden="1">LP!$B$23:$K$23</definedName>
    <definedName name="solver_lhs2" localSheetId="15" hidden="1">LP!$B$11:$K$12</definedName>
    <definedName name="solver_lhs3" localSheetId="15" hidden="1">LP!$B$13:$K$15</definedName>
    <definedName name="solver_lhs4" localSheetId="15" hidden="1">LP!$B$16:$K$17</definedName>
    <definedName name="solver_lhs5" localSheetId="15" hidden="1">LP!$B$18:$K$18</definedName>
    <definedName name="solver_lhs6" localSheetId="15" hidden="1">LP!$B$18:$K$18</definedName>
    <definedName name="solver_lhs7" localSheetId="15" hidden="1">LP!$B$19:$K$19</definedName>
    <definedName name="solver_lhs8" localSheetId="15" hidden="1">LP!$B$20:$K$20</definedName>
    <definedName name="solver_lhs9" localSheetId="15" hidden="1">LP!$B$21:$K$21</definedName>
    <definedName name="solver_lin" localSheetId="15" hidden="1">1</definedName>
    <definedName name="solver_mip" localSheetId="15" hidden="1">2147483647</definedName>
    <definedName name="solver_mni" localSheetId="15" hidden="1">30</definedName>
    <definedName name="solver_mrt" localSheetId="15" hidden="1">0.075</definedName>
    <definedName name="solver_msl" localSheetId="15" hidden="1">2</definedName>
    <definedName name="solver_neg" localSheetId="15" hidden="1">1</definedName>
    <definedName name="solver_nod" localSheetId="15" hidden="1">2147483647</definedName>
    <definedName name="solver_num" localSheetId="15" hidden="1">13</definedName>
    <definedName name="solver_nwt" localSheetId="15" hidden="1">1</definedName>
    <definedName name="solver_opt" localSheetId="15" hidden="1">LP!$F$36</definedName>
    <definedName name="solver_pre" localSheetId="15" hidden="1">0.000001</definedName>
    <definedName name="solver_rbv" localSheetId="15" hidden="1">1</definedName>
    <definedName name="solver_rel1" localSheetId="15" hidden="1">4</definedName>
    <definedName name="solver_rel10" localSheetId="15" hidden="1">1</definedName>
    <definedName name="solver_rel11" localSheetId="15" hidden="1">1</definedName>
    <definedName name="solver_rel12" localSheetId="15" hidden="1">3</definedName>
    <definedName name="solver_rel13" localSheetId="15" hidden="1">3</definedName>
    <definedName name="solver_rel14" localSheetId="15" hidden="1">1</definedName>
    <definedName name="solver_rel15" localSheetId="15" hidden="1">1</definedName>
    <definedName name="solver_rel16" localSheetId="15" hidden="1">3</definedName>
    <definedName name="solver_rel2" localSheetId="15" hidden="1">3</definedName>
    <definedName name="solver_rel3" localSheetId="15" hidden="1">5</definedName>
    <definedName name="solver_rel4" localSheetId="15" hidden="1">5</definedName>
    <definedName name="solver_rel5" localSheetId="15" hidden="1">4</definedName>
    <definedName name="solver_rel6" localSheetId="15" hidden="1">3</definedName>
    <definedName name="solver_rel7" localSheetId="15" hidden="1">2</definedName>
    <definedName name="solver_rel8" localSheetId="15" hidden="1">3</definedName>
    <definedName name="solver_rel9" localSheetId="15" hidden="1">3</definedName>
    <definedName name="solver_rhs1" localSheetId="15" hidden="1">integer</definedName>
    <definedName name="solver_rhs10" localSheetId="15" hidden="1">1</definedName>
    <definedName name="solver_rhs11" localSheetId="15" hidden="1">1</definedName>
    <definedName name="solver_rhs12" localSheetId="15" hidden="1">0</definedName>
    <definedName name="solver_rhs13" localSheetId="15" hidden="1">0</definedName>
    <definedName name="solver_rhs14" localSheetId="15" hidden="1">1</definedName>
    <definedName name="solver_rhs15" localSheetId="15" hidden="1">0</definedName>
    <definedName name="solver_rhs16" localSheetId="15" hidden="1">0</definedName>
    <definedName name="solver_rhs2" localSheetId="15" hidden="1">0</definedName>
    <definedName name="solver_rhs3" localSheetId="15" hidden="1">binary</definedName>
    <definedName name="solver_rhs4" localSheetId="15" hidden="1">binary</definedName>
    <definedName name="solver_rhs5" localSheetId="15" hidden="1">integer</definedName>
    <definedName name="solver_rhs6" localSheetId="15" hidden="1">0</definedName>
    <definedName name="solver_rhs7" localSheetId="15" hidden="1">0</definedName>
    <definedName name="solver_rhs8" localSheetId="15" hidden="1">0</definedName>
    <definedName name="solver_rhs9" localSheetId="15" hidden="1">0</definedName>
    <definedName name="solver_rlx" localSheetId="15" hidden="1">2</definedName>
    <definedName name="solver_rsd" localSheetId="15" hidden="1">0</definedName>
    <definedName name="solver_scl" localSheetId="15" hidden="1">1</definedName>
    <definedName name="solver_sho" localSheetId="15" hidden="1">2</definedName>
    <definedName name="solver_ssz" localSheetId="15" hidden="1">100</definedName>
    <definedName name="solver_tim" localSheetId="15" hidden="1">120</definedName>
    <definedName name="solver_tol" localSheetId="15" hidden="1">0.01</definedName>
    <definedName name="solver_typ" localSheetId="15" hidden="1">2</definedName>
    <definedName name="solver_val" localSheetId="15" hidden="1">0</definedName>
    <definedName name="solver_ver" localSheetId="15" hidden="1">2</definedName>
    <definedName name="SS_ITEM">Input!$D$3:$D$7</definedName>
    <definedName name="Stam">Input!$B$18:$B$20</definedName>
    <definedName name="TRANS_DATA_A">'Item A'!$D$3:$J$3</definedName>
    <definedName name="TRANS_DATA_B">'Item B'!$D$3:$J$3</definedName>
    <definedName name="TRANS_DATA_C">'Item C'!$D$3:$J$3</definedName>
    <definedName name="TRANS_DATA_D">'Item D'!$D$3:$J$3</definedName>
    <definedName name="TRANS_DATA_E">'Item E'!$D$3:$J$3</definedName>
    <definedName name="TRANS_DATA_F">'Raw F'!$D$3:$N$3</definedName>
    <definedName name="TRANS_DATA_G">'Raw G'!$D$3:$N$3</definedName>
    <definedName name="TRANS_DATA_H">'Raw H'!$D$3:$N$3</definedName>
    <definedName name="TRANS_DATA_I">'Raw I'!$D$3:$N$3</definedName>
    <definedName name="V_FP">FP!$B$7:$K$7</definedName>
    <definedName name="V_LFL">LFL!$B$7:$K$7</definedName>
    <definedName name="V_SM">'S&amp;M'!$B$7:$L$7</definedName>
    <definedName name="V_SM1">'S&amp;M'!$C$7:$L$7</definedName>
    <definedName name="V_WW">WW!$B$7:$L$7</definedName>
    <definedName name="V_WW0">WW!$B$7:$K$7</definedName>
    <definedName name="V_WW1">WW!$C$7:$L$7</definedName>
    <definedName name="VT_A">'Item A'!$B$12:$K$12</definedName>
    <definedName name="VT_B">'Item B'!$B$12:$K$12</definedName>
    <definedName name="VT_C">'Item C'!$B$12:$K$12</definedName>
    <definedName name="VT_D">'Item D'!$B$12:$K$12</definedName>
    <definedName name="VT_E">'Item E'!$B$12:$K$12</definedName>
    <definedName name="VT_F">'Raw F'!$B$12:$K$12</definedName>
    <definedName name="VT_G">'Raw G'!$B$12:$K$12</definedName>
    <definedName name="VT_H">'Raw H'!$B$12:$K$12</definedName>
    <definedName name="VT_I">'Raw I'!$B$12:$K$12</definedName>
    <definedName name="VT_LP">LP!$B$10:$K$10</definedName>
    <definedName name="X_A">Input!$B$18:$K$18</definedName>
    <definedName name="X_B">Input!$B$19:$K$19</definedName>
    <definedName name="X_C">Input!$B$20:$K$20</definedName>
    <definedName name="X_D">Input!$B$21:$K$21</definedName>
    <definedName name="X_E">Input!$B$22:$K$22</definedName>
    <definedName name="X_F">Input!$B$23:$K$23</definedName>
    <definedName name="X_G">Input!$B$24:$K$24</definedName>
    <definedName name="X_H">Input!$B$25:$K$25</definedName>
    <definedName name="X_I">Input!$B$26:$K$26</definedName>
    <definedName name="Y_A">'Item A'!$B$10:$K$10</definedName>
    <definedName name="Y_B">'Item B'!$B$10:$K$10</definedName>
    <definedName name="Y_C">'Item C'!$B$10:$K$10</definedName>
    <definedName name="Y_D">'Item D'!$B$10:$K$10</definedName>
    <definedName name="Y_E">'Item E'!$B$10:$K$10</definedName>
    <definedName name="Y_F">'Raw F'!$B$10:$K$10</definedName>
    <definedName name="Y_G">'Raw G'!$B$10:$K$10</definedName>
    <definedName name="Y_H">'Raw H'!$B$10:$K$10</definedName>
    <definedName name="Y_I">'Raw I'!$B$10:$K$10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22" l="1"/>
  <c r="C28" i="22" l="1"/>
  <c r="D28" i="22"/>
  <c r="E28" i="22"/>
  <c r="F28" i="22"/>
  <c r="G28" i="22"/>
  <c r="H28" i="22"/>
  <c r="I28" i="22"/>
  <c r="J28" i="22"/>
  <c r="K28" i="22"/>
  <c r="B28" i="22"/>
  <c r="C27" i="22"/>
  <c r="D27" i="22"/>
  <c r="E27" i="22"/>
  <c r="F27" i="22"/>
  <c r="G27" i="22"/>
  <c r="H27" i="22"/>
  <c r="I27" i="22"/>
  <c r="J27" i="22"/>
  <c r="K27" i="22"/>
  <c r="B27" i="22"/>
  <c r="C26" i="22"/>
  <c r="D26" i="22"/>
  <c r="E26" i="22"/>
  <c r="F26" i="22"/>
  <c r="G26" i="22"/>
  <c r="H26" i="22"/>
  <c r="I26" i="22"/>
  <c r="J26" i="22"/>
  <c r="K26" i="22"/>
  <c r="B26" i="22"/>
  <c r="C25" i="22"/>
  <c r="D25" i="22"/>
  <c r="E25" i="22"/>
  <c r="F25" i="22"/>
  <c r="G25" i="22"/>
  <c r="H25" i="22"/>
  <c r="I25" i="22"/>
  <c r="J25" i="22"/>
  <c r="K25" i="22"/>
  <c r="B25" i="22"/>
  <c r="C23" i="22"/>
  <c r="D23" i="22"/>
  <c r="E23" i="22"/>
  <c r="F23" i="22"/>
  <c r="G23" i="22"/>
  <c r="H23" i="22"/>
  <c r="I23" i="22"/>
  <c r="J23" i="22"/>
  <c r="K23" i="22"/>
  <c r="B23" i="22"/>
  <c r="K22" i="22"/>
  <c r="C22" i="22"/>
  <c r="D22" i="22"/>
  <c r="E22" i="22"/>
  <c r="F22" i="22"/>
  <c r="G22" i="22"/>
  <c r="H22" i="22"/>
  <c r="I22" i="22"/>
  <c r="J22" i="22"/>
  <c r="B22" i="22"/>
  <c r="C21" i="22"/>
  <c r="D21" i="22"/>
  <c r="E21" i="22"/>
  <c r="F21" i="22"/>
  <c r="G21" i="22"/>
  <c r="H21" i="22"/>
  <c r="I21" i="22"/>
  <c r="J21" i="22"/>
  <c r="K21" i="22"/>
  <c r="C20" i="22"/>
  <c r="D20" i="22"/>
  <c r="E20" i="22"/>
  <c r="F20" i="22"/>
  <c r="G20" i="22"/>
  <c r="H20" i="22"/>
  <c r="I20" i="22"/>
  <c r="J20" i="22"/>
  <c r="K20" i="22"/>
  <c r="B20" i="22"/>
  <c r="C24" i="22"/>
  <c r="C19" i="22" s="1"/>
  <c r="D24" i="22"/>
  <c r="D19" i="22" s="1"/>
  <c r="E24" i="22"/>
  <c r="E19" i="22" s="1"/>
  <c r="F24" i="22"/>
  <c r="F19" i="22" s="1"/>
  <c r="G24" i="22"/>
  <c r="G19" i="22" s="1"/>
  <c r="H24" i="22"/>
  <c r="H19" i="22" s="1"/>
  <c r="I24" i="22"/>
  <c r="I19" i="22" s="1"/>
  <c r="J24" i="22"/>
  <c r="J19" i="22" s="1"/>
  <c r="K24" i="22"/>
  <c r="K19" i="22" s="1"/>
  <c r="B24" i="22"/>
  <c r="B19" i="22" s="1"/>
  <c r="L18" i="22"/>
  <c r="N33" i="22" s="1"/>
  <c r="L15" i="22"/>
  <c r="H33" i="22" s="1"/>
  <c r="L14" i="22"/>
  <c r="L13" i="22"/>
  <c r="L12" i="22"/>
  <c r="L33" i="22" s="1"/>
  <c r="L11" i="22"/>
  <c r="J33" i="22" s="1"/>
  <c r="L10" i="22"/>
  <c r="L29" i="22" s="1"/>
  <c r="L27" i="22" l="1"/>
  <c r="B33" i="22" s="1"/>
  <c r="L28" i="22"/>
  <c r="E33" i="22" s="1"/>
  <c r="F36" i="22" l="1"/>
</calcChain>
</file>

<file path=xl/sharedStrings.xml><?xml version="1.0" encoding="utf-8"?>
<sst xmlns="http://schemas.openxmlformats.org/spreadsheetml/2006/main" count="379" uniqueCount="129">
  <si>
    <t>Assembly item data</t>
  </si>
  <si>
    <t>ID</t>
  </si>
  <si>
    <t>LotSize</t>
  </si>
  <si>
    <t>L.T.</t>
  </si>
  <si>
    <t>S.S</t>
  </si>
  <si>
    <t>OH</t>
  </si>
  <si>
    <t>h</t>
  </si>
  <si>
    <t>A</t>
  </si>
  <si>
    <t>B</t>
  </si>
  <si>
    <t>C</t>
  </si>
  <si>
    <t>D</t>
  </si>
  <si>
    <t>E</t>
  </si>
  <si>
    <t>F</t>
  </si>
  <si>
    <t>G</t>
  </si>
  <si>
    <t>c1</t>
  </si>
  <si>
    <t>c2</t>
  </si>
  <si>
    <t>H</t>
  </si>
  <si>
    <t>I</t>
  </si>
  <si>
    <t>Raw material data</t>
  </si>
  <si>
    <t>q1</t>
  </si>
  <si>
    <t>q2</t>
  </si>
  <si>
    <t>K1</t>
  </si>
  <si>
    <t>K2</t>
  </si>
  <si>
    <t>K'</t>
  </si>
  <si>
    <t>K</t>
  </si>
  <si>
    <t>Expected Orders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</si>
  <si>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</si>
  <si>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</si>
  <si>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</si>
  <si>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</si>
  <si>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</si>
  <si>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</si>
  <si>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</si>
  <si>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</si>
  <si>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</si>
  <si>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</si>
  <si>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External Demand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</si>
  <si>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</si>
  <si>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</si>
  <si>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</si>
  <si>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</si>
  <si>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</si>
  <si>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</si>
  <si>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</si>
  <si>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</si>
  <si>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</si>
  <si>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</si>
  <si>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ID_1:</t>
  </si>
  <si>
    <t>ID_2:</t>
  </si>
  <si>
    <t>Item A</t>
  </si>
  <si>
    <t>פריט:</t>
  </si>
  <si>
    <t>t</t>
  </si>
  <si>
    <t>ביקוש חיצוני</t>
  </si>
  <si>
    <t>ביקוש פנימי</t>
  </si>
  <si>
    <r>
      <t>R</t>
    </r>
    <r>
      <rPr>
        <vertAlign val="subscript"/>
        <sz val="11"/>
        <color theme="1"/>
        <rFont val="Calibri"/>
        <family val="2"/>
        <scheme val="minor"/>
      </rPr>
      <t>t</t>
    </r>
  </si>
  <si>
    <r>
      <t>X</t>
    </r>
    <r>
      <rPr>
        <vertAlign val="subscript"/>
        <sz val="11"/>
        <color theme="1"/>
        <rFont val="Calibri"/>
        <family val="2"/>
        <scheme val="minor"/>
      </rPr>
      <t>t</t>
    </r>
  </si>
  <si>
    <r>
      <t>y</t>
    </r>
    <r>
      <rPr>
        <vertAlign val="subscript"/>
        <sz val="11"/>
        <color theme="1"/>
        <rFont val="Calibri"/>
        <family val="2"/>
        <scheme val="minor"/>
      </rPr>
      <t>t</t>
    </r>
  </si>
  <si>
    <r>
      <t>D</t>
    </r>
    <r>
      <rPr>
        <vertAlign val="subscript"/>
        <sz val="11"/>
        <color theme="1"/>
        <rFont val="Calibri"/>
        <family val="2"/>
        <scheme val="minor"/>
      </rPr>
      <t>t</t>
    </r>
  </si>
  <si>
    <r>
      <t>V</t>
    </r>
    <r>
      <rPr>
        <vertAlign val="subscript"/>
        <sz val="11"/>
        <color theme="1"/>
        <rFont val="Calibri"/>
        <family val="2"/>
        <scheme val="minor"/>
      </rPr>
      <t>t</t>
    </r>
  </si>
  <si>
    <r>
      <t>Q</t>
    </r>
    <r>
      <rPr>
        <vertAlign val="subscript"/>
        <sz val="11"/>
        <color theme="1"/>
        <rFont val="Calibri"/>
        <family val="2"/>
        <scheme val="minor"/>
      </rPr>
      <t>t</t>
    </r>
  </si>
  <si>
    <t>Item D</t>
  </si>
  <si>
    <t>Item C</t>
  </si>
  <si>
    <t>Item B</t>
  </si>
  <si>
    <t>Item E</t>
  </si>
  <si>
    <t>Raw material H</t>
  </si>
  <si>
    <t>חומר גלם</t>
  </si>
  <si>
    <t>Raw material F</t>
  </si>
  <si>
    <t xml:space="preserve">  </t>
  </si>
  <si>
    <t>Raw material G</t>
  </si>
  <si>
    <t>Raw material I</t>
  </si>
  <si>
    <t>Lot Sizing Method WW</t>
  </si>
  <si>
    <t>k</t>
  </si>
  <si>
    <t>V</t>
  </si>
  <si>
    <t>Q</t>
  </si>
  <si>
    <t>min cost</t>
  </si>
  <si>
    <t>pre period</t>
  </si>
  <si>
    <t>Lot Sizing Method  FP</t>
  </si>
  <si>
    <t>Lot Sizing Method LFL</t>
  </si>
  <si>
    <t>Lot Sizing Method Silver &amp; Meal</t>
  </si>
  <si>
    <t>Item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</si>
  <si>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</si>
  <si>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</si>
  <si>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</si>
  <si>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</si>
  <si>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</si>
  <si>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</si>
  <si>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</si>
  <si>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</si>
  <si>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</si>
  <si>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</si>
  <si>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FP Size</t>
  </si>
  <si>
    <r>
      <t>B</t>
    </r>
    <r>
      <rPr>
        <vertAlign val="subscript"/>
        <sz val="11"/>
        <color theme="1"/>
        <rFont val="Calibri"/>
        <family val="2"/>
        <scheme val="minor"/>
      </rPr>
      <t>1t</t>
    </r>
  </si>
  <si>
    <r>
      <t>B</t>
    </r>
    <r>
      <rPr>
        <vertAlign val="subscript"/>
        <sz val="11"/>
        <color theme="1"/>
        <rFont val="Calibri"/>
        <family val="2"/>
        <scheme val="minor"/>
      </rPr>
      <t>2t</t>
    </r>
  </si>
  <si>
    <t>Linear Programming</t>
  </si>
  <si>
    <t>Clear</t>
  </si>
  <si>
    <t>Solve</t>
  </si>
  <si>
    <t>SM</t>
  </si>
  <si>
    <t>WW</t>
  </si>
  <si>
    <t>FP</t>
  </si>
  <si>
    <t>LFL</t>
  </si>
  <si>
    <t>M</t>
  </si>
  <si>
    <t>אילוצים</t>
  </si>
  <si>
    <r>
      <t>Z</t>
    </r>
    <r>
      <rPr>
        <vertAlign val="subscript"/>
        <sz val="11"/>
        <color theme="1"/>
        <rFont val="Calibri"/>
        <family val="2"/>
        <scheme val="minor"/>
      </rPr>
      <t>1t</t>
    </r>
  </si>
  <si>
    <r>
      <t>Z</t>
    </r>
    <r>
      <rPr>
        <vertAlign val="subscript"/>
        <sz val="11"/>
        <color theme="1"/>
        <rFont val="Calibri"/>
        <family val="2"/>
        <scheme val="minor"/>
      </rPr>
      <t>2t</t>
    </r>
  </si>
  <si>
    <r>
      <t>Z</t>
    </r>
    <r>
      <rPr>
        <vertAlign val="subscript"/>
        <sz val="11"/>
        <color theme="1"/>
        <rFont val="Calibri"/>
        <family val="2"/>
        <scheme val="minor"/>
      </rPr>
      <t>3t</t>
    </r>
  </si>
  <si>
    <r>
      <t>I</t>
    </r>
    <r>
      <rPr>
        <vertAlign val="subscript"/>
        <sz val="11"/>
        <color theme="1"/>
        <rFont val="Calibri"/>
        <family val="2"/>
        <scheme val="minor"/>
      </rPr>
      <t>t</t>
    </r>
  </si>
  <si>
    <t>פרמטרים</t>
  </si>
  <si>
    <t>פרמטר</t>
  </si>
  <si>
    <t>משתני החלטה</t>
  </si>
  <si>
    <t>q1*B1t + q2*B2t</t>
  </si>
  <si>
    <t>MIN Y=</t>
  </si>
  <si>
    <t>sigma(Vt)-M&lt;=0</t>
  </si>
  <si>
    <r>
      <t>X</t>
    </r>
    <r>
      <rPr>
        <vertAlign val="subscript"/>
        <sz val="11"/>
        <color theme="1"/>
        <rFont val="Calibri"/>
        <family val="2"/>
        <scheme val="minor"/>
      </rPr>
      <t>1t</t>
    </r>
  </si>
  <si>
    <r>
      <t>X</t>
    </r>
    <r>
      <rPr>
        <vertAlign val="subscript"/>
        <sz val="11"/>
        <color theme="1"/>
        <rFont val="Calibri"/>
        <family val="2"/>
        <scheme val="minor"/>
      </rPr>
      <t>2t</t>
    </r>
  </si>
  <si>
    <t>MX1t-B1t*q1&gt;=0</t>
  </si>
  <si>
    <t>MX2t-B2t*q2&gt;=0</t>
  </si>
  <si>
    <t>X1t+X2t-Z3t&lt;=1</t>
  </si>
  <si>
    <t>Vt -( B1t*q1 + B2t*q2) - I(t-1) + It=0</t>
  </si>
  <si>
    <t>Z1t+Z2-Z3t&lt;=1</t>
  </si>
  <si>
    <t>MZ1t-B1t*q1&gt;=0</t>
  </si>
  <si>
    <t>MZ2t-B2t*q2&gt;=0</t>
  </si>
  <si>
    <t>K1*sigma(Z1t-Z3t)</t>
  </si>
  <si>
    <t>K2*sigma(Z2t-Z3t)</t>
  </si>
  <si>
    <t>K3*sigma(Z3t)</t>
  </si>
  <si>
    <t>C1*q1*sigma(B1t)</t>
  </si>
  <si>
    <t>C2*q2*sigma(B2t)</t>
  </si>
  <si>
    <t>Z1t-Z3t</t>
  </si>
  <si>
    <t>Z2t-Z3t</t>
  </si>
  <si>
    <t>h*sigma(It)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</si>
</sst>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177"/>
      <scheme val="minor"/>
    </font>
    <font>
      <b/>
      <sz val="11"/>
      <color theme="1"/>
      <name val="Calibri"/>
      <family val="2"/>
      <charset val="177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FF0000"/>
      <name val="Calibri"/>
      <family val="2"/>
      <charset val="177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5E8E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53">
    <xf numFmtId="0" fontId="0" fillId="0" borderId="0" xfId="0"/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4" borderId="8" xfId="0" applyFill="1" applyBorder="1" applyAlignment="1" applyProtection="1">
      <alignment horizontal="center" vertical="center"/>
      <protection locked="0"/>
    </xf>
    <xf numFmtId="0" fontId="0" fillId="4" borderId="10" xfId="0" applyFill="1" applyBorder="1" applyAlignment="1" applyProtection="1">
      <alignment horizontal="center" vertical="center"/>
      <protection locked="0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4" borderId="13" xfId="0" applyFill="1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  <protection locked="0"/>
    </xf>
    <xf numFmtId="0" fontId="0" fillId="4" borderId="16" xfId="0" applyFill="1" applyBorder="1" applyAlignment="1" applyProtection="1">
      <alignment horizontal="center" vertical="center"/>
      <protection locked="0"/>
    </xf>
    <xf numFmtId="0" fontId="2" fillId="3" borderId="19" xfId="0" applyFont="1" applyFill="1" applyBorder="1" applyAlignment="1">
      <alignment horizontal="center" vertical="center"/>
    </xf>
    <xf numFmtId="0" fontId="0" fillId="4" borderId="18" xfId="0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0" fillId="4" borderId="8" xfId="0" applyFill="1" applyBorder="1" applyAlignment="1" applyProtection="1">
      <alignment horizontal="center"/>
      <protection locked="0"/>
    </xf>
    <xf numFmtId="0" fontId="0" fillId="4" borderId="12" xfId="0" applyFill="1" applyBorder="1" applyAlignment="1" applyProtection="1">
      <alignment horizontal="center"/>
      <protection locked="0"/>
    </xf>
    <xf numFmtId="0" fontId="3" fillId="5" borderId="21" xfId="0" applyFont="1" applyFill="1" applyBorder="1" applyAlignment="1">
      <alignment horizontal="center" vertical="center"/>
    </xf>
    <xf numFmtId="0" fontId="3" fillId="5" borderId="2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3" fillId="5" borderId="24" xfId="0" applyFon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2" fillId="5" borderId="26" xfId="0" applyFont="1" applyFill="1" applyBorder="1" applyAlignment="1">
      <alignment horizontal="center" vertical="center"/>
    </xf>
    <xf numFmtId="0" fontId="5" fillId="5" borderId="27" xfId="0" applyFont="1" applyFill="1" applyBorder="1" applyAlignment="1">
      <alignment horizontal="center" vertical="center" wrapText="1" readingOrder="2"/>
    </xf>
    <xf numFmtId="0" fontId="5" fillId="5" borderId="28" xfId="0" applyFont="1" applyFill="1" applyBorder="1" applyAlignment="1">
      <alignment horizontal="center" vertical="center" wrapText="1" readingOrder="2"/>
    </xf>
    <xf numFmtId="0" fontId="5" fillId="5" borderId="29" xfId="0" applyFont="1" applyFill="1" applyBorder="1" applyAlignment="1">
      <alignment horizontal="center" vertical="center" wrapText="1" readingOrder="2"/>
    </xf>
    <xf numFmtId="0" fontId="2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4" borderId="25" xfId="0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>
      <alignment horizontal="center" vertical="center"/>
    </xf>
    <xf numFmtId="0" fontId="0" fillId="4" borderId="17" xfId="0" applyFill="1" applyBorder="1" applyAlignment="1" applyProtection="1">
      <alignment horizontal="center" vertical="center"/>
      <protection locked="0"/>
    </xf>
    <xf numFmtId="0" fontId="0" fillId="4" borderId="31" xfId="0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/>
    </xf>
    <xf numFmtId="0" fontId="3" fillId="6" borderId="14" xfId="0" applyFont="1" applyFill="1" applyBorder="1" applyAlignment="1" applyProtection="1">
      <alignment horizontal="center" vertical="center"/>
      <protection locked="0"/>
    </xf>
    <xf numFmtId="0" fontId="0" fillId="6" borderId="25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>
      <alignment horizontal="center"/>
    </xf>
    <xf numFmtId="0" fontId="0" fillId="6" borderId="9" xfId="0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0" fillId="6" borderId="13" xfId="0" applyFill="1" applyBorder="1"/>
    <xf numFmtId="0" fontId="0" fillId="6" borderId="20" xfId="0" applyFill="1" applyBorder="1" applyAlignment="1" applyProtection="1">
      <alignment horizontal="center" vertical="center"/>
      <protection locked="0"/>
    </xf>
    <xf numFmtId="0" fontId="0" fillId="6" borderId="25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5" fillId="5" borderId="32" xfId="0" applyFont="1" applyFill="1" applyBorder="1" applyAlignment="1">
      <alignment horizontal="center" vertical="center" wrapText="1" readingOrder="2"/>
    </xf>
    <xf numFmtId="0" fontId="5" fillId="5" borderId="33" xfId="0" applyFont="1" applyFill="1" applyBorder="1" applyAlignment="1">
      <alignment horizontal="center" vertical="center" wrapText="1" readingOrder="2"/>
    </xf>
    <xf numFmtId="0" fontId="0" fillId="4" borderId="7" xfId="0" applyFill="1" applyBorder="1" applyAlignment="1" applyProtection="1">
      <alignment horizontal="center" vertical="center"/>
      <protection locked="0"/>
    </xf>
    <xf numFmtId="0" fontId="2" fillId="3" borderId="3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0" fillId="4" borderId="3" xfId="0" applyFill="1" applyBorder="1" applyAlignment="1" applyProtection="1">
      <alignment horizontal="center" vertical="center"/>
      <protection locked="0"/>
    </xf>
    <xf numFmtId="0" fontId="0" fillId="4" borderId="34" xfId="0" applyFill="1" applyBorder="1" applyAlignment="1" applyProtection="1">
      <alignment horizontal="center" vertical="center"/>
      <protection locked="0"/>
    </xf>
    <xf numFmtId="0" fontId="0" fillId="4" borderId="35" xfId="0" applyFill="1" applyBorder="1" applyAlignment="1" applyProtection="1">
      <alignment horizontal="center" vertical="center"/>
      <protection locked="0"/>
    </xf>
    <xf numFmtId="0" fontId="0" fillId="4" borderId="36" xfId="0" applyFill="1" applyBorder="1" applyAlignment="1" applyProtection="1">
      <alignment horizontal="center" vertical="center"/>
      <protection locked="0"/>
    </xf>
    <xf numFmtId="0" fontId="0" fillId="4" borderId="40" xfId="0" applyFill="1" applyBorder="1" applyAlignment="1" applyProtection="1">
      <alignment horizontal="center" vertical="center"/>
      <protection locked="0"/>
    </xf>
    <xf numFmtId="0" fontId="5" fillId="5" borderId="41" xfId="0" applyFont="1" applyFill="1" applyBorder="1" applyAlignment="1">
      <alignment horizontal="center" vertical="center" wrapText="1" readingOrder="2"/>
    </xf>
    <xf numFmtId="0" fontId="5" fillId="5" borderId="14" xfId="0" applyFont="1" applyFill="1" applyBorder="1" applyAlignment="1">
      <alignment horizontal="center" vertical="center" wrapText="1" readingOrder="2"/>
    </xf>
    <xf numFmtId="0" fontId="0" fillId="7" borderId="0" xfId="0" applyFill="1" applyAlignment="1">
      <alignment horizontal="center"/>
    </xf>
    <xf numFmtId="0" fontId="0" fillId="7" borderId="14" xfId="0" applyFill="1" applyBorder="1" applyAlignment="1">
      <alignment horizontal="center"/>
    </xf>
    <xf numFmtId="0" fontId="0" fillId="4" borderId="42" xfId="0" applyFill="1" applyBorder="1" applyAlignment="1" applyProtection="1">
      <alignment horizontal="center" vertical="center"/>
      <protection locked="0"/>
    </xf>
    <xf numFmtId="0" fontId="0" fillId="4" borderId="40" xfId="0" applyFill="1" applyBorder="1" applyAlignment="1" applyProtection="1">
      <alignment horizontal="center"/>
      <protection locked="0"/>
    </xf>
    <xf numFmtId="0" fontId="0" fillId="4" borderId="43" xfId="0" applyFill="1" applyBorder="1" applyAlignment="1" applyProtection="1">
      <alignment horizontal="center" vertical="center"/>
      <protection locked="0"/>
    </xf>
    <xf numFmtId="0" fontId="0" fillId="4" borderId="44" xfId="0" applyFill="1" applyBorder="1" applyAlignment="1" applyProtection="1">
      <alignment horizontal="center" vertical="center"/>
      <protection locked="0"/>
    </xf>
    <xf numFmtId="0" fontId="0" fillId="4" borderId="45" xfId="0" applyFill="1" applyBorder="1" applyAlignment="1" applyProtection="1">
      <alignment horizontal="center" vertical="center"/>
      <protection locked="0"/>
    </xf>
    <xf numFmtId="0" fontId="0" fillId="4" borderId="46" xfId="0" applyFill="1" applyBorder="1" applyAlignment="1" applyProtection="1">
      <alignment horizontal="center" vertical="center"/>
      <protection locked="0"/>
    </xf>
    <xf numFmtId="0" fontId="0" fillId="4" borderId="7" xfId="0" applyFill="1" applyBorder="1" applyAlignment="1">
      <alignment horizontal="center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4" borderId="13" xfId="0" applyFill="1" applyBorder="1" applyAlignment="1" applyProtection="1">
      <alignment horizontal="center" vertical="center"/>
      <protection locked="0"/>
    </xf>
    <xf numFmtId="0" fontId="0" fillId="6" borderId="9" xfId="0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4" borderId="7" xfId="0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 applyProtection="1">
      <alignment horizontal="center" vertical="center"/>
      <protection locked="0"/>
    </xf>
    <xf numFmtId="0" fontId="0" fillId="4" borderId="35" xfId="0" applyFill="1" applyBorder="1" applyAlignment="1" applyProtection="1">
      <alignment horizontal="center" vertical="center"/>
      <protection locked="0"/>
    </xf>
    <xf numFmtId="0" fontId="0" fillId="4" borderId="36" xfId="0" applyFill="1" applyBorder="1" applyAlignment="1" applyProtection="1">
      <alignment horizontal="center" vertical="center"/>
      <protection locked="0"/>
    </xf>
    <xf numFmtId="0" fontId="0" fillId="0" borderId="0" xfId="0"/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0" fontId="0" fillId="4" borderId="8" xfId="0" applyFill="1" applyBorder="1" applyAlignment="1" applyProtection="1">
      <alignment horizontal="center" vertical="center"/>
      <protection locked="0"/>
    </xf>
    <xf numFmtId="0" fontId="0" fillId="4" borderId="10" xfId="0" applyFill="1" applyBorder="1" applyAlignment="1" applyProtection="1">
      <alignment horizontal="center" vertical="center"/>
      <protection locked="0"/>
    </xf>
    <xf numFmtId="0" fontId="2" fillId="3" borderId="11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0" fillId="4" borderId="18" xfId="0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4" borderId="5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4" borderId="8" xfId="0" applyFill="1" applyBorder="1" applyAlignment="1" applyProtection="1">
      <alignment horizontal="center"/>
      <protection locked="0"/>
    </xf>
    <xf numFmtId="0" fontId="0" fillId="4" borderId="1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0" fontId="0" fillId="4" borderId="13" xfId="0" applyFill="1" applyBorder="1" applyAlignment="1" applyProtection="1">
      <alignment horizontal="center"/>
      <protection locked="0"/>
    </xf>
    <xf numFmtId="0" fontId="0" fillId="4" borderId="17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7" xfId="0" applyFill="1" applyBorder="1" applyAlignment="1" applyProtection="1">
      <alignment horizontal="center" vertical="center"/>
      <protection locked="0"/>
    </xf>
    <xf numFmtId="0" fontId="0" fillId="4" borderId="12" xfId="0" applyFill="1" applyBorder="1"/>
    <xf numFmtId="0" fontId="0" fillId="4" borderId="13" xfId="0" applyFill="1" applyBorder="1"/>
    <xf numFmtId="0" fontId="0" fillId="4" borderId="6" xfId="0" applyFill="1" applyBorder="1"/>
    <xf numFmtId="0" fontId="0" fillId="4" borderId="34" xfId="0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  <protection locked="0"/>
    </xf>
    <xf numFmtId="0" fontId="0" fillId="4" borderId="16" xfId="0" applyFill="1" applyBorder="1" applyAlignment="1" applyProtection="1">
      <alignment horizontal="center" vertical="center"/>
      <protection locked="0"/>
    </xf>
    <xf numFmtId="0" fontId="5" fillId="9" borderId="33" xfId="0" applyFont="1" applyFill="1" applyBorder="1" applyAlignment="1">
      <alignment horizontal="center" vertical="center" wrapText="1" readingOrder="2"/>
    </xf>
    <xf numFmtId="0" fontId="7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5" fillId="5" borderId="47" xfId="0" applyFont="1" applyFill="1" applyBorder="1" applyAlignment="1">
      <alignment horizontal="center" vertical="center" wrapText="1" readingOrder="2"/>
    </xf>
    <xf numFmtId="0" fontId="0" fillId="4" borderId="43" xfId="0" applyFill="1" applyBorder="1" applyAlignment="1">
      <alignment horizontal="center"/>
    </xf>
    <xf numFmtId="0" fontId="0" fillId="4" borderId="4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</cellXfs>
  <cellStyles count="1">
    <cellStyle name="Normal" xfId="0" builtinId="0"/>
  </cellStyles>
  <dxfs count="96"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B5E8E7"/>
      <color rgb="FFB5DFE7"/>
      <color rgb="FFB0E2EC"/>
      <color rgb="FFFBA3DE"/>
      <color rgb="FFF98BCA"/>
      <color rgb="FFFBD7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20</xdr:row>
      <xdr:rowOff>0</xdr:rowOff>
    </xdr:from>
    <xdr:to>
      <xdr:col>22</xdr:col>
      <xdr:colOff>38100</xdr:colOff>
      <xdr:row>35</xdr:row>
      <xdr:rowOff>143435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05D1EBB2-48F3-4EDE-A58E-FB9F3B7B32EF}"/>
            </a:ext>
          </a:extLst>
        </xdr:cNvPr>
        <xdr:cNvSpPr txBox="1">
          <a:spLocks noChangeArrowheads="1"/>
        </xdr:cNvSpPr>
      </xdr:nvSpPr>
      <xdr:spPr bwMode="auto">
        <a:xfrm>
          <a:off x="8534400" y="3657600"/>
          <a:ext cx="5345206" cy="2859741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עמוד הקלט</a:t>
          </a: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אין לשנות את עמוד זה מלבד הזנת קלט בתאים הצבועים בלבן והזנת תעודות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זהות המגישים בתאים הצבועים ב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תכלת.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כל אחת מהשורות בטבלאות בגיליון זה וכמו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כן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עמודת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LotSize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בטבלה הראשונה היא וקטור של רכיב אשר יש לו שם: </a:t>
          </a: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t>- כאשר מסמנים את תאי הוקטור ניתן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לראות את השמות בתיבה השמאלית העליונה באקסל. </a:t>
          </a: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- כאשר לוחצים על החץ בתוך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התיבה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ניתן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לראות את כל השמות שהוגדרו עבור וקטורים באותו גיליון ובכל הקובץ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כדאי להשתמש בשמות של וקטורים על מנת להקל על העבודה,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תוכלו להגדיר שמות לכל טווח תאים שתרצו ע"י בחירה בטווח תאים וכתיבה של שם בתיבה שהוזכרה מקודם.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הכפתור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clearAll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מוחק את כל התאים של הקלט (כל התאים הלבנים) - שימו לב! לא ניתן לחזור לאחור לאחר המחיקה.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הכפתור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SOLVE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מפעיל את הסברוטינה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solve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אשר עליכם לערוך ב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VB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. 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oneCell">
    <xdr:from>
      <xdr:col>14</xdr:col>
      <xdr:colOff>573741</xdr:colOff>
      <xdr:row>8</xdr:row>
      <xdr:rowOff>53789</xdr:rowOff>
    </xdr:from>
    <xdr:to>
      <xdr:col>16</xdr:col>
      <xdr:colOff>779929</xdr:colOff>
      <xdr:row>16</xdr:row>
      <xdr:rowOff>8965</xdr:rowOff>
    </xdr:to>
    <xdr:pic macro="[0]!clearAll">
      <xdr:nvPicPr>
        <xdr:cNvPr id="6" name="גרפיקה 5" descr="סחבה ודלי עם מילוי מלא">
          <a:extLst>
            <a:ext uri="{FF2B5EF4-FFF2-40B4-BE49-F238E27FC236}">
              <a16:creationId xmlns:a16="http://schemas.microsoft.com/office/drawing/2014/main" id="{9245BD75-466D-4D87-B484-3021307D5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108141" y="1515036"/>
          <a:ext cx="1425388" cy="1425388"/>
        </a:xfrm>
        <a:prstGeom prst="rect">
          <a:avLst/>
        </a:prstGeom>
        <a:effectLst>
          <a:glow rad="101600">
            <a:schemeClr val="tx1">
              <a:alpha val="60000"/>
            </a:schemeClr>
          </a:glow>
        </a:effectLst>
      </xdr:spPr>
    </xdr:pic>
    <xdr:clientData/>
  </xdr:twoCellAnchor>
  <xdr:twoCellAnchor editAs="oneCell">
    <xdr:from>
      <xdr:col>17</xdr:col>
      <xdr:colOff>340658</xdr:colOff>
      <xdr:row>8</xdr:row>
      <xdr:rowOff>26894</xdr:rowOff>
    </xdr:from>
    <xdr:to>
      <xdr:col>20</xdr:col>
      <xdr:colOff>53787</xdr:colOff>
      <xdr:row>16</xdr:row>
      <xdr:rowOff>98611</xdr:rowOff>
    </xdr:to>
    <xdr:pic macro="[0]!solve">
      <xdr:nvPicPr>
        <xdr:cNvPr id="8" name="גרפיקה 7" descr="חשבוניה עם מילוי מלא">
          <a:extLst>
            <a:ext uri="{FF2B5EF4-FFF2-40B4-BE49-F238E27FC236}">
              <a16:creationId xmlns:a16="http://schemas.microsoft.com/office/drawing/2014/main" id="{3E3FC470-2235-431F-A0F5-60484F0C6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134164" y="1488141"/>
          <a:ext cx="1541929" cy="1541929"/>
        </a:xfrm>
        <a:prstGeom prst="rect">
          <a:avLst/>
        </a:prstGeom>
        <a:effectLst>
          <a:glow rad="101600">
            <a:schemeClr val="tx1">
              <a:alpha val="60000"/>
            </a:schemeClr>
          </a:glo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18</xdr:col>
      <xdr:colOff>287678</xdr:colOff>
      <xdr:row>4</xdr:row>
      <xdr:rowOff>91440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BA94E48E-D009-44CA-87A0-FC7A1F7479AF}"/>
            </a:ext>
          </a:extLst>
        </xdr:cNvPr>
        <xdr:cNvSpPr txBox="1">
          <a:spLocks noChangeArrowheads="1"/>
        </xdr:cNvSpPr>
      </xdr:nvSpPr>
      <xdr:spPr bwMode="auto">
        <a:xfrm>
          <a:off x="7315200" y="190500"/>
          <a:ext cx="3945278" cy="647700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זהו עמוד הסיכום (הפלט).</a:t>
          </a:r>
        </a:p>
        <a:p>
          <a:pPr algn="ctr" rtl="1">
            <a:defRPr sz="1000"/>
          </a:pPr>
          <a:endParaRPr lang="he-IL" sz="1100" b="0" i="0" strike="noStrike">
            <a:solidFill>
              <a:srgbClr val="000000"/>
            </a:solidFill>
            <a:latin typeface="+mn-lt"/>
          </a:endParaRP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אין לשנות את עמוד זה מלבד הזנת נתונים בכל התאים המכילים </a:t>
          </a:r>
          <a:r>
            <a:rPr lang="en-US" sz="1100" b="0" i="0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x</a:t>
          </a:r>
          <a:r>
            <a:rPr lang="he-IL" sz="1100" b="0" i="0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.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0</xdr:rowOff>
    </xdr:from>
    <xdr:to>
      <xdr:col>10</xdr:col>
      <xdr:colOff>89558</xdr:colOff>
      <xdr:row>19</xdr:row>
      <xdr:rowOff>48757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716B0B70-D8A4-4C22-A699-7D1E90F25A17}"/>
            </a:ext>
          </a:extLst>
        </xdr:cNvPr>
        <xdr:cNvSpPr txBox="1">
          <a:spLocks noChangeArrowheads="1"/>
        </xdr:cNvSpPr>
      </xdr:nvSpPr>
      <xdr:spPr bwMode="auto">
        <a:xfrm>
          <a:off x="1219200" y="3322320"/>
          <a:ext cx="4966358" cy="780277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A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0</xdr:rowOff>
    </xdr:from>
    <xdr:to>
      <xdr:col>10</xdr:col>
      <xdr:colOff>89558</xdr:colOff>
      <xdr:row>19</xdr:row>
      <xdr:rowOff>48757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A5865A4-67A8-4945-98F8-34BC605C5224}"/>
            </a:ext>
          </a:extLst>
        </xdr:cNvPr>
        <xdr:cNvSpPr txBox="1">
          <a:spLocks noChangeArrowheads="1"/>
        </xdr:cNvSpPr>
      </xdr:nvSpPr>
      <xdr:spPr bwMode="auto">
        <a:xfrm>
          <a:off x="1219200" y="3322320"/>
          <a:ext cx="4966358" cy="780277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B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0</xdr:rowOff>
    </xdr:from>
    <xdr:to>
      <xdr:col>10</xdr:col>
      <xdr:colOff>89558</xdr:colOff>
      <xdr:row>19</xdr:row>
      <xdr:rowOff>48757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A2C19C-E434-435D-A2BC-49CC269E3CBE}"/>
            </a:ext>
          </a:extLst>
        </xdr:cNvPr>
        <xdr:cNvSpPr txBox="1">
          <a:spLocks noChangeArrowheads="1"/>
        </xdr:cNvSpPr>
      </xdr:nvSpPr>
      <xdr:spPr bwMode="auto">
        <a:xfrm>
          <a:off x="1219200" y="3322320"/>
          <a:ext cx="4966358" cy="780277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D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0</xdr:rowOff>
    </xdr:from>
    <xdr:to>
      <xdr:col>10</xdr:col>
      <xdr:colOff>89558</xdr:colOff>
      <xdr:row>19</xdr:row>
      <xdr:rowOff>48757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CBD7E7-6C5E-404D-96B7-F7589EE11E6B}"/>
            </a:ext>
          </a:extLst>
        </xdr:cNvPr>
        <xdr:cNvSpPr txBox="1">
          <a:spLocks noChangeArrowheads="1"/>
        </xdr:cNvSpPr>
      </xdr:nvSpPr>
      <xdr:spPr bwMode="auto">
        <a:xfrm>
          <a:off x="1219200" y="3322320"/>
          <a:ext cx="4966358" cy="780277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C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0</xdr:rowOff>
    </xdr:from>
    <xdr:to>
      <xdr:col>10</xdr:col>
      <xdr:colOff>89558</xdr:colOff>
      <xdr:row>19</xdr:row>
      <xdr:rowOff>48757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286CD66-E3F6-496A-93A5-261DCFB0F984}"/>
            </a:ext>
          </a:extLst>
        </xdr:cNvPr>
        <xdr:cNvSpPr txBox="1">
          <a:spLocks noChangeArrowheads="1"/>
        </xdr:cNvSpPr>
      </xdr:nvSpPr>
      <xdr:spPr bwMode="auto">
        <a:xfrm>
          <a:off x="1219200" y="3322320"/>
          <a:ext cx="4966358" cy="780277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E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16</xdr:row>
      <xdr:rowOff>0</xdr:rowOff>
    </xdr:from>
    <xdr:to>
      <xdr:col>9</xdr:col>
      <xdr:colOff>607907</xdr:colOff>
      <xdr:row>21</xdr:row>
      <xdr:rowOff>53340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C5D8C63B-4265-4395-B4FE-793D7C79168F}"/>
            </a:ext>
          </a:extLst>
        </xdr:cNvPr>
        <xdr:cNvSpPr txBox="1">
          <a:spLocks noChangeArrowheads="1"/>
        </xdr:cNvSpPr>
      </xdr:nvSpPr>
      <xdr:spPr bwMode="auto">
        <a:xfrm>
          <a:off x="1219200" y="3451860"/>
          <a:ext cx="4875107" cy="967740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חומר גלם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G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B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it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- מספר האריזות מסוג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שהוזמנו.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Q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מספר היחידות הכולל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16</xdr:row>
      <xdr:rowOff>0</xdr:rowOff>
    </xdr:from>
    <xdr:to>
      <xdr:col>9</xdr:col>
      <xdr:colOff>607907</xdr:colOff>
      <xdr:row>21</xdr:row>
      <xdr:rowOff>53340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65967B97-1FD9-427C-A4B8-0D3A4055F4BA}"/>
            </a:ext>
          </a:extLst>
        </xdr:cNvPr>
        <xdr:cNvSpPr txBox="1">
          <a:spLocks noChangeArrowheads="1"/>
        </xdr:cNvSpPr>
      </xdr:nvSpPr>
      <xdr:spPr bwMode="auto">
        <a:xfrm>
          <a:off x="1219200" y="3451860"/>
          <a:ext cx="4875107" cy="967740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חומר גלם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H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B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it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- מספר האריזות מסוג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שהוזמנו.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Q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מספר היחידות הכולל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16</xdr:row>
      <xdr:rowOff>0</xdr:rowOff>
    </xdr:from>
    <xdr:to>
      <xdr:col>9</xdr:col>
      <xdr:colOff>607907</xdr:colOff>
      <xdr:row>21</xdr:row>
      <xdr:rowOff>53340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49FD2A26-B343-4DF3-B4EF-98EDB5E87F73}"/>
            </a:ext>
          </a:extLst>
        </xdr:cNvPr>
        <xdr:cNvSpPr txBox="1">
          <a:spLocks noChangeArrowheads="1"/>
        </xdr:cNvSpPr>
      </xdr:nvSpPr>
      <xdr:spPr bwMode="auto">
        <a:xfrm>
          <a:off x="1219200" y="3451860"/>
          <a:ext cx="4875107" cy="967740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חומר גלם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B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it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- מספר האריזות מסוג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שהוזמנו.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Q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מספר היחידות הכולל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16</xdr:row>
      <xdr:rowOff>12700</xdr:rowOff>
    </xdr:from>
    <xdr:to>
      <xdr:col>10</xdr:col>
      <xdr:colOff>11007</xdr:colOff>
      <xdr:row>21</xdr:row>
      <xdr:rowOff>66040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542B3963-3BBA-4235-AB72-30B1A5C31DED}"/>
            </a:ext>
          </a:extLst>
        </xdr:cNvPr>
        <xdr:cNvSpPr txBox="1">
          <a:spLocks noChangeArrowheads="1"/>
        </xdr:cNvSpPr>
      </xdr:nvSpPr>
      <xdr:spPr bwMode="auto">
        <a:xfrm>
          <a:off x="1422400" y="3873500"/>
          <a:ext cx="5319607" cy="1005840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חומר גלם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F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B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it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- מספר האריזות מסוג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שהוזמנו.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Q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מספר היחידות הכולל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145143</xdr:colOff>
      <xdr:row>18</xdr:row>
      <xdr:rowOff>139095</xdr:rowOff>
    </xdr:from>
    <xdr:to>
      <xdr:col>9</xdr:col>
      <xdr:colOff>37738</xdr:colOff>
      <xdr:row>22</xdr:row>
      <xdr:rowOff>73207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FAB9C9A6-851E-461D-AE7D-A17796D7734C}"/>
            </a:ext>
          </a:extLst>
        </xdr:cNvPr>
        <xdr:cNvSpPr txBox="1">
          <a:spLocks noChangeArrowheads="1"/>
        </xdr:cNvSpPr>
      </xdr:nvSpPr>
      <xdr:spPr bwMode="auto">
        <a:xfrm>
          <a:off x="816429" y="3695095"/>
          <a:ext cx="5262880" cy="708207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עמוד עזר (אין חובה</a:t>
          </a:r>
          <a:r>
            <a:rPr lang="he-IL" sz="1100" b="1" i="0" u="sng" strike="noStrike" baseline="0">
              <a:solidFill>
                <a:srgbClr val="000000"/>
              </a:solidFill>
              <a:latin typeface="Calibri"/>
            </a:rPr>
            <a:t> להשתמש בגיליון זה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)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WW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ct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28864</xdr:colOff>
      <xdr:row>9</xdr:row>
      <xdr:rowOff>187612</xdr:rowOff>
    </xdr:from>
    <xdr:to>
      <xdr:col>11</xdr:col>
      <xdr:colOff>36080</xdr:colOff>
      <xdr:row>13</xdr:row>
      <xdr:rowOff>180397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906A2E-F1D9-4EDC-B4EC-D6FA2BE64FFC}"/>
            </a:ext>
          </a:extLst>
        </xdr:cNvPr>
        <xdr:cNvSpPr txBox="1">
          <a:spLocks noChangeArrowheads="1"/>
        </xdr:cNvSpPr>
      </xdr:nvSpPr>
      <xdr:spPr bwMode="auto">
        <a:xfrm>
          <a:off x="2042103" y="1962726"/>
          <a:ext cx="5375852" cy="743239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עמוד עזר (אין חובה</a:t>
          </a:r>
          <a:r>
            <a:rPr lang="he-IL" sz="1100" b="1" i="0" u="sng" strike="noStrike" baseline="0">
              <a:solidFill>
                <a:srgbClr val="000000"/>
              </a:solidFill>
              <a:latin typeface="Calibri"/>
            </a:rPr>
            <a:t> להשתמש בגיליון זה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)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S&amp;M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ct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660400</xdr:colOff>
      <xdr:row>13</xdr:row>
      <xdr:rowOff>25400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F22315F-6946-44AF-943E-964B62CE4D16}"/>
            </a:ext>
          </a:extLst>
        </xdr:cNvPr>
        <xdr:cNvSpPr txBox="1">
          <a:spLocks noChangeArrowheads="1"/>
        </xdr:cNvSpPr>
      </xdr:nvSpPr>
      <xdr:spPr bwMode="auto">
        <a:xfrm>
          <a:off x="673100" y="1790700"/>
          <a:ext cx="5372100" cy="787400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עמוד עזר (אין חובה</a:t>
          </a:r>
          <a:r>
            <a:rPr lang="he-IL" sz="1100" b="1" i="0" u="sng" strike="noStrike" baseline="0">
              <a:solidFill>
                <a:srgbClr val="000000"/>
              </a:solidFill>
              <a:latin typeface="Calibri"/>
            </a:rPr>
            <a:t> להשתמש בגיליון זה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)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FP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ct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563880</xdr:colOff>
      <xdr:row>12</xdr:row>
      <xdr:rowOff>127635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C7237CD-BD5A-49A0-81B2-8218DDFC729C}"/>
            </a:ext>
          </a:extLst>
        </xdr:cNvPr>
        <xdr:cNvSpPr txBox="1">
          <a:spLocks noChangeArrowheads="1"/>
        </xdr:cNvSpPr>
      </xdr:nvSpPr>
      <xdr:spPr bwMode="auto">
        <a:xfrm>
          <a:off x="609600" y="1645920"/>
          <a:ext cx="4831080" cy="676275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עמוד עזר (אין חובה</a:t>
          </a:r>
          <a:r>
            <a:rPr lang="he-IL" sz="1100" b="1" i="0" u="sng" strike="noStrike" baseline="0">
              <a:solidFill>
                <a:srgbClr val="000000"/>
              </a:solidFill>
              <a:latin typeface="Calibri"/>
            </a:rPr>
            <a:t> להשתמש בגיליון זה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)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LFL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ct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5792</xdr:colOff>
      <xdr:row>0</xdr:row>
      <xdr:rowOff>184355</xdr:rowOff>
    </xdr:from>
    <xdr:to>
      <xdr:col>22</xdr:col>
      <xdr:colOff>5791</xdr:colOff>
      <xdr:row>5</xdr:row>
      <xdr:rowOff>152401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A07C8E13-0688-44C9-83BC-E204A9E00FBE}"/>
            </a:ext>
          </a:extLst>
        </xdr:cNvPr>
        <xdr:cNvSpPr txBox="1">
          <a:spLocks noChangeArrowheads="1"/>
        </xdr:cNvSpPr>
      </xdr:nvSpPr>
      <xdr:spPr bwMode="auto">
        <a:xfrm>
          <a:off x="13505892" y="184355"/>
          <a:ext cx="5384799" cy="958646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זהו 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עמוד עזר (אין חובה</a:t>
          </a:r>
          <a:r>
            <a:rPr lang="he-IL" sz="1000" b="1" i="0" u="sng" baseline="0">
              <a:effectLst/>
              <a:latin typeface="+mn-lt"/>
              <a:ea typeface="+mn-ea"/>
              <a:cs typeface="+mn-cs"/>
            </a:rPr>
            <a:t> להשתמש בגיליון זה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)</a:t>
          </a:r>
          <a:r>
            <a:rPr lang="he-IL" sz="1000" b="1" i="0" u="none">
              <a:effectLst/>
              <a:latin typeface="+mn-lt"/>
              <a:ea typeface="+mn-ea"/>
              <a:cs typeface="+mn-cs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+mn-lt"/>
            </a:rPr>
            <a:t>לקביעת גודל המנה באמצעות תכנות לינארי.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ניתן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לערוך גיליון זה והוא לא יבדק, יש לעבוד בעזרת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Solver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  <a:endParaRPr lang="he-IL" sz="1100" b="0" i="0" strike="noStrike">
            <a:solidFill>
              <a:srgbClr val="000000"/>
            </a:solidFill>
            <a:latin typeface="+mn-lt"/>
          </a:endParaRPr>
        </a:p>
      </xdr:txBody>
    </xdr:sp>
    <xdr:clientData/>
  </xdr:twoCellAnchor>
  <xdr:oneCellAnchor>
    <xdr:from>
      <xdr:col>11</xdr:col>
      <xdr:colOff>152400</xdr:colOff>
      <xdr:row>8</xdr:row>
      <xdr:rowOff>68580</xdr:rowOff>
    </xdr:from>
    <xdr:ext cx="363206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תיבת טקסט 1">
              <a:extLst>
                <a:ext uri="{FF2B5EF4-FFF2-40B4-BE49-F238E27FC236}">
                  <a16:creationId xmlns:a16="http://schemas.microsoft.com/office/drawing/2014/main" id="{A4D2B358-D66A-BFA9-304F-2AD87CAAF77D}"/>
                </a:ext>
              </a:extLst>
            </xdr:cNvPr>
            <xdr:cNvSpPr txBox="1"/>
          </xdr:nvSpPr>
          <xdr:spPr>
            <a:xfrm>
              <a:off x="9058275" y="1516380"/>
              <a:ext cx="363206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1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he-IL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/>
                    </m:nary>
                  </m:oMath>
                </m:oMathPara>
              </a14:m>
              <a:endParaRPr lang="he-IL" sz="1100"/>
            </a:p>
          </xdr:txBody>
        </xdr:sp>
      </mc:Choice>
      <mc:Fallback xmlns="">
        <xdr:sp macro="" textlink="">
          <xdr:nvSpPr>
            <xdr:cNvPr id="2" name="תיבת טקסט 1">
              <a:extLst>
                <a:ext uri="{FF2B5EF4-FFF2-40B4-BE49-F238E27FC236}">
                  <a16:creationId xmlns:a16="http://schemas.microsoft.com/office/drawing/2014/main" id="{A4D2B358-D66A-BFA9-304F-2AD87CAAF77D}"/>
                </a:ext>
              </a:extLst>
            </xdr:cNvPr>
            <xdr:cNvSpPr txBox="1"/>
          </xdr:nvSpPr>
          <xdr:spPr>
            <a:xfrm>
              <a:off x="9058275" y="1516380"/>
              <a:ext cx="363206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1" anchor="t">
              <a:spAutoFit/>
            </a:bodyPr>
            <a:lstStyle/>
            <a:p>
              <a:r>
                <a:rPr lang="he-IL" sz="1100" i="0">
                  <a:latin typeface="Cambria Math" panose="02040503050406030204" pitchFamily="18" charset="0"/>
                </a:rPr>
                <a:t>∑</a:t>
              </a:r>
              <a:endParaRPr lang="he-IL" sz="11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&#1506;&#1502;&#1512;&#1497;%20&#1502;&#1488;&#1500;&#1497;/Downloads/__Tapi2_MRP_programming_SemB_2020_sol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Sheet2"/>
      <sheetName val="Summary"/>
      <sheetName val="Item A"/>
      <sheetName val="Item B"/>
      <sheetName val="Item C"/>
      <sheetName val="Item D"/>
      <sheetName val="Item E"/>
      <sheetName val="Item F"/>
      <sheetName val="Item G"/>
      <sheetName val="Raw material H"/>
      <sheetName val="Raw material I"/>
      <sheetName val="Raw material J"/>
      <sheetName val="WW"/>
      <sheetName val="LUC"/>
      <sheetName val="FQ"/>
      <sheetName val="LFL"/>
      <sheetName val="Linear_Prog3"/>
      <sheetName val="Sheet1"/>
      <sheetName val="Linear_Prog"/>
      <sheetName val="Linear_Prog (2)"/>
    </sheetNames>
    <sheetDataSet>
      <sheetData sheetId="0">
        <row r="3">
          <cell r="B3" t="str">
            <v>WW</v>
          </cell>
        </row>
        <row r="4">
          <cell r="B4" t="str">
            <v>LUC</v>
          </cell>
        </row>
        <row r="5">
          <cell r="B5" t="str">
            <v>FQ</v>
          </cell>
        </row>
        <row r="6">
          <cell r="B6" t="str">
            <v>LFL</v>
          </cell>
        </row>
        <row r="7">
          <cell r="B7" t="str">
            <v>WW</v>
          </cell>
        </row>
        <row r="8">
          <cell r="B8" t="str">
            <v>LUC</v>
          </cell>
        </row>
        <row r="9">
          <cell r="B9" t="str">
            <v>FQ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6C9A4-F555-404D-9C6A-920AFBE85CD6}">
  <sheetPr codeName="Worksheet______1">
    <tabColor rgb="FFFFC000"/>
  </sheetPr>
  <dimension ref="A1:S38"/>
  <sheetViews>
    <sheetView showGridLines="0" zoomScale="70" zoomScaleNormal="70" workbookViewId="0">
      <selection activeCell="A2" sqref="A2:M38"/>
    </sheetView>
  </sheetViews>
  <sheetFormatPr baseColWidth="10" defaultColWidth="8.83203125" defaultRowHeight="15" x14ac:dyDescent="0.2"/>
  <cols>
    <col min="17" max="17" width="15.1640625" customWidth="1"/>
  </cols>
  <sheetData>
    <row r="1" spans="1:17" ht="16" thickBot="1" x14ac:dyDescent="0.25">
      <c r="A1" s="1" t="s">
        <v>0</v>
      </c>
      <c r="B1" s="2"/>
      <c r="C1" s="2"/>
      <c r="D1" s="2"/>
      <c r="E1" s="2"/>
      <c r="F1" s="2"/>
      <c r="G1" s="2"/>
      <c r="P1" s="20" t="s">
        <v>47</v>
      </c>
      <c r="Q1" s="53"/>
    </row>
    <row r="2" spans="1:17" ht="16" thickBot="1" x14ac:dyDescent="0.25">
      <c r="A2" s="140" t="s">
        <v>1</v>
      </c>
      <c r="B2" s="107" t="s">
        <v>2</v>
      </c>
      <c r="C2" s="100" t="s">
        <v>3</v>
      </c>
      <c r="D2" s="100" t="s">
        <v>4</v>
      </c>
      <c r="E2" s="100" t="s">
        <v>5</v>
      </c>
      <c r="F2" s="100" t="s">
        <v>24</v>
      </c>
      <c r="G2" s="100" t="s">
        <v>90</v>
      </c>
      <c r="H2" s="101" t="s">
        <v>6</v>
      </c>
      <c r="I2" s="97"/>
      <c r="J2" s="97"/>
      <c r="K2" s="97"/>
      <c r="L2" s="97"/>
      <c r="M2" s="97"/>
      <c r="P2" s="21" t="s">
        <v>48</v>
      </c>
      <c r="Q2" s="53"/>
    </row>
    <row r="3" spans="1:17" x14ac:dyDescent="0.2">
      <c r="A3" s="102" t="s">
        <v>7</v>
      </c>
      <c r="B3" s="125" t="s">
        <v>97</v>
      </c>
      <c r="C3" s="103">
        <v>1</v>
      </c>
      <c r="D3" s="103">
        <v>50</v>
      </c>
      <c r="E3" s="103">
        <v>100</v>
      </c>
      <c r="F3" s="103">
        <v>100</v>
      </c>
      <c r="G3" s="103"/>
      <c r="H3" s="128">
        <v>1</v>
      </c>
      <c r="I3" s="97"/>
      <c r="J3" s="97"/>
      <c r="K3" s="97"/>
      <c r="L3" s="97"/>
      <c r="M3" s="97"/>
    </row>
    <row r="4" spans="1:17" x14ac:dyDescent="0.2">
      <c r="A4" s="141" t="s">
        <v>8</v>
      </c>
      <c r="B4" s="108" t="s">
        <v>99</v>
      </c>
      <c r="C4" s="104">
        <v>1</v>
      </c>
      <c r="D4" s="104">
        <v>0</v>
      </c>
      <c r="E4" s="104">
        <v>10</v>
      </c>
      <c r="F4" s="104">
        <v>30</v>
      </c>
      <c r="G4" s="104"/>
      <c r="H4" s="126">
        <v>1</v>
      </c>
      <c r="I4" s="97"/>
      <c r="J4" s="97"/>
      <c r="K4" s="97"/>
      <c r="L4" s="97"/>
      <c r="M4" s="97"/>
    </row>
    <row r="5" spans="1:17" x14ac:dyDescent="0.2">
      <c r="A5" s="141" t="s">
        <v>9</v>
      </c>
      <c r="B5" s="108" t="s">
        <v>96</v>
      </c>
      <c r="C5" s="104">
        <v>2</v>
      </c>
      <c r="D5" s="104">
        <v>200</v>
      </c>
      <c r="E5" s="104">
        <v>40</v>
      </c>
      <c r="F5" s="104">
        <v>500</v>
      </c>
      <c r="G5" s="104"/>
      <c r="H5" s="126">
        <v>2.2000000000000002</v>
      </c>
      <c r="I5" s="97"/>
      <c r="J5" s="97"/>
      <c r="K5" s="97"/>
      <c r="L5" s="97"/>
      <c r="M5" s="97"/>
    </row>
    <row r="6" spans="1:17" x14ac:dyDescent="0.2">
      <c r="A6" s="141" t="s">
        <v>10</v>
      </c>
      <c r="B6" s="108" t="s">
        <v>98</v>
      </c>
      <c r="C6" s="104">
        <v>0</v>
      </c>
      <c r="D6" s="104">
        <v>0</v>
      </c>
      <c r="E6" s="104">
        <v>0</v>
      </c>
      <c r="F6" s="104">
        <v>60</v>
      </c>
      <c r="G6" s="104">
        <v>2</v>
      </c>
      <c r="H6" s="126">
        <v>20</v>
      </c>
      <c r="I6" s="97"/>
      <c r="J6" s="97"/>
      <c r="K6" s="97"/>
      <c r="L6" s="97"/>
      <c r="M6" s="97"/>
    </row>
    <row r="7" spans="1:17" ht="16" thickBot="1" x14ac:dyDescent="0.25">
      <c r="A7" s="142" t="s">
        <v>11</v>
      </c>
      <c r="B7" s="109" t="s">
        <v>98</v>
      </c>
      <c r="C7" s="105">
        <v>0</v>
      </c>
      <c r="D7" s="105">
        <v>10</v>
      </c>
      <c r="E7" s="105">
        <v>30</v>
      </c>
      <c r="F7" s="105">
        <v>600</v>
      </c>
      <c r="G7" s="105">
        <v>2</v>
      </c>
      <c r="H7" s="127">
        <v>2</v>
      </c>
      <c r="I7" s="97"/>
      <c r="J7" s="97"/>
      <c r="K7" s="97"/>
      <c r="L7" s="97"/>
      <c r="M7" s="97"/>
    </row>
    <row r="8" spans="1:17" x14ac:dyDescent="0.2">
      <c r="A8" s="143"/>
      <c r="B8" s="144"/>
      <c r="C8" s="144"/>
      <c r="D8" s="144"/>
      <c r="E8" s="144"/>
      <c r="F8" s="144"/>
      <c r="G8" s="144"/>
      <c r="H8" s="97"/>
      <c r="I8" s="97"/>
      <c r="J8" s="97"/>
      <c r="K8" s="97"/>
      <c r="L8" s="97"/>
      <c r="M8" s="97"/>
    </row>
    <row r="9" spans="1:17" ht="16" thickBot="1" x14ac:dyDescent="0.25">
      <c r="A9" s="98" t="s">
        <v>18</v>
      </c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</row>
    <row r="10" spans="1:17" ht="16" thickBot="1" x14ac:dyDescent="0.25">
      <c r="A10" s="145" t="s">
        <v>1</v>
      </c>
      <c r="B10" s="146"/>
      <c r="C10" s="107" t="s">
        <v>3</v>
      </c>
      <c r="D10" s="100" t="s">
        <v>4</v>
      </c>
      <c r="E10" s="100" t="s">
        <v>5</v>
      </c>
      <c r="F10" s="100" t="s">
        <v>6</v>
      </c>
      <c r="G10" s="100" t="s">
        <v>19</v>
      </c>
      <c r="H10" s="106" t="s">
        <v>20</v>
      </c>
      <c r="I10" s="106" t="s">
        <v>14</v>
      </c>
      <c r="J10" s="106" t="s">
        <v>15</v>
      </c>
      <c r="K10" s="106" t="s">
        <v>21</v>
      </c>
      <c r="L10" s="106" t="s">
        <v>22</v>
      </c>
      <c r="M10" s="101" t="s">
        <v>23</v>
      </c>
    </row>
    <row r="11" spans="1:17" x14ac:dyDescent="0.2">
      <c r="A11" s="147" t="s">
        <v>12</v>
      </c>
      <c r="B11" s="148"/>
      <c r="C11" s="118">
        <v>0</v>
      </c>
      <c r="D11" s="119">
        <v>40</v>
      </c>
      <c r="E11" s="119">
        <v>30</v>
      </c>
      <c r="F11" s="119">
        <v>1</v>
      </c>
      <c r="G11" s="119">
        <v>30</v>
      </c>
      <c r="H11" s="119">
        <v>110</v>
      </c>
      <c r="I11" s="119">
        <v>5</v>
      </c>
      <c r="J11" s="119">
        <v>3</v>
      </c>
      <c r="K11" s="119">
        <v>1200</v>
      </c>
      <c r="L11" s="119">
        <v>1500</v>
      </c>
      <c r="M11" s="120">
        <v>3000</v>
      </c>
    </row>
    <row r="12" spans="1:17" x14ac:dyDescent="0.2">
      <c r="A12" s="149" t="s">
        <v>13</v>
      </c>
      <c r="B12" s="150"/>
      <c r="C12" s="108">
        <v>0</v>
      </c>
      <c r="D12" s="104">
        <v>0</v>
      </c>
      <c r="E12" s="104">
        <v>0</v>
      </c>
      <c r="F12" s="104">
        <v>2</v>
      </c>
      <c r="G12" s="104">
        <v>90</v>
      </c>
      <c r="H12" s="104">
        <v>270</v>
      </c>
      <c r="I12" s="104">
        <v>8</v>
      </c>
      <c r="J12" s="104">
        <v>2</v>
      </c>
      <c r="K12" s="104">
        <v>100</v>
      </c>
      <c r="L12" s="121">
        <v>110</v>
      </c>
      <c r="M12" s="122">
        <v>400</v>
      </c>
    </row>
    <row r="13" spans="1:17" x14ac:dyDescent="0.2">
      <c r="A13" s="149" t="s">
        <v>16</v>
      </c>
      <c r="B13" s="150"/>
      <c r="C13" s="108">
        <v>0</v>
      </c>
      <c r="D13" s="104">
        <v>0</v>
      </c>
      <c r="E13" s="104">
        <v>0</v>
      </c>
      <c r="F13" s="104">
        <v>1</v>
      </c>
      <c r="G13" s="104">
        <v>10</v>
      </c>
      <c r="H13" s="104">
        <v>15</v>
      </c>
      <c r="I13" s="104">
        <v>14</v>
      </c>
      <c r="J13" s="104">
        <v>10</v>
      </c>
      <c r="K13" s="104">
        <v>400</v>
      </c>
      <c r="L13" s="121">
        <v>400</v>
      </c>
      <c r="M13" s="122">
        <v>1300</v>
      </c>
    </row>
    <row r="14" spans="1:17" ht="16" thickBot="1" x14ac:dyDescent="0.25">
      <c r="A14" s="151" t="s">
        <v>17</v>
      </c>
      <c r="B14" s="152"/>
      <c r="C14" s="109">
        <v>0</v>
      </c>
      <c r="D14" s="105">
        <v>30</v>
      </c>
      <c r="E14" s="105">
        <v>0</v>
      </c>
      <c r="F14" s="105">
        <v>4</v>
      </c>
      <c r="G14" s="105">
        <v>50</v>
      </c>
      <c r="H14" s="105">
        <v>100</v>
      </c>
      <c r="I14" s="105">
        <v>30</v>
      </c>
      <c r="J14" s="105">
        <v>29</v>
      </c>
      <c r="K14" s="105">
        <v>1</v>
      </c>
      <c r="L14" s="123">
        <v>1</v>
      </c>
      <c r="M14" s="124">
        <v>3</v>
      </c>
    </row>
    <row r="15" spans="1:17" x14ac:dyDescent="0.2">
      <c r="A15" s="97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</row>
    <row r="16" spans="1:17" ht="16" thickBot="1" x14ac:dyDescent="0.25">
      <c r="A16" s="110" t="s">
        <v>25</v>
      </c>
      <c r="B16" s="99"/>
      <c r="C16" s="111"/>
      <c r="D16" s="99"/>
      <c r="E16" s="99"/>
      <c r="F16" s="99"/>
      <c r="G16" s="99"/>
      <c r="H16" s="99"/>
      <c r="I16" s="99"/>
      <c r="J16" s="99"/>
      <c r="K16" s="99"/>
      <c r="L16" s="97"/>
      <c r="M16" s="97"/>
    </row>
    <row r="17" spans="1:19" ht="16" thickBot="1" x14ac:dyDescent="0.25">
      <c r="A17" s="140" t="s">
        <v>1</v>
      </c>
      <c r="B17" s="100" t="s">
        <v>26</v>
      </c>
      <c r="C17" s="100" t="s">
        <v>27</v>
      </c>
      <c r="D17" s="100" t="s">
        <v>28</v>
      </c>
      <c r="E17" s="100" t="s">
        <v>29</v>
      </c>
      <c r="F17" s="100" t="s">
        <v>30</v>
      </c>
      <c r="G17" s="100" t="s">
        <v>31</v>
      </c>
      <c r="H17" s="100" t="s">
        <v>32</v>
      </c>
      <c r="I17" s="100" t="s">
        <v>33</v>
      </c>
      <c r="J17" s="100" t="s">
        <v>34</v>
      </c>
      <c r="K17" s="101" t="s">
        <v>35</v>
      </c>
      <c r="L17" s="97"/>
      <c r="M17" s="97"/>
    </row>
    <row r="18" spans="1:19" x14ac:dyDescent="0.2">
      <c r="A18" s="102" t="s">
        <v>7</v>
      </c>
      <c r="B18" s="103">
        <v>10</v>
      </c>
      <c r="C18" s="103">
        <v>0</v>
      </c>
      <c r="D18" s="103">
        <v>0</v>
      </c>
      <c r="E18" s="103">
        <v>50</v>
      </c>
      <c r="F18" s="103">
        <v>0</v>
      </c>
      <c r="G18" s="103">
        <v>0</v>
      </c>
      <c r="H18" s="103">
        <v>0</v>
      </c>
      <c r="I18" s="103">
        <v>0</v>
      </c>
      <c r="J18" s="103"/>
      <c r="K18" s="130"/>
      <c r="L18" s="97"/>
      <c r="M18" s="97"/>
      <c r="P18" t="s">
        <v>94</v>
      </c>
      <c r="S18" t="s">
        <v>95</v>
      </c>
    </row>
    <row r="19" spans="1:19" x14ac:dyDescent="0.2">
      <c r="A19" s="141" t="s">
        <v>8</v>
      </c>
      <c r="B19" s="104">
        <v>0</v>
      </c>
      <c r="C19" s="104">
        <v>0</v>
      </c>
      <c r="D19" s="104">
        <v>0</v>
      </c>
      <c r="E19" s="104">
        <v>0</v>
      </c>
      <c r="F19" s="104">
        <v>0</v>
      </c>
      <c r="G19" s="104">
        <v>150</v>
      </c>
      <c r="H19" s="114">
        <v>0</v>
      </c>
      <c r="I19" s="114">
        <v>0</v>
      </c>
      <c r="J19" s="103"/>
      <c r="K19" s="130"/>
      <c r="L19" s="97"/>
      <c r="M19" s="97"/>
    </row>
    <row r="20" spans="1:19" x14ac:dyDescent="0.2">
      <c r="A20" s="141" t="s">
        <v>9</v>
      </c>
      <c r="B20" s="104">
        <v>0</v>
      </c>
      <c r="C20" s="104">
        <v>0</v>
      </c>
      <c r="D20" s="104">
        <v>0</v>
      </c>
      <c r="E20" s="104">
        <v>0</v>
      </c>
      <c r="F20" s="104">
        <v>0</v>
      </c>
      <c r="G20" s="104">
        <v>30</v>
      </c>
      <c r="H20" s="114">
        <v>10</v>
      </c>
      <c r="I20" s="114">
        <v>0</v>
      </c>
      <c r="J20" s="103"/>
      <c r="K20" s="130"/>
      <c r="L20" s="97"/>
      <c r="M20" s="97"/>
    </row>
    <row r="21" spans="1:19" x14ac:dyDescent="0.2">
      <c r="A21" s="141" t="s">
        <v>10</v>
      </c>
      <c r="B21" s="104">
        <v>0</v>
      </c>
      <c r="C21" s="104">
        <v>0</v>
      </c>
      <c r="D21" s="104">
        <v>0</v>
      </c>
      <c r="E21" s="104">
        <v>0</v>
      </c>
      <c r="F21" s="104">
        <v>0</v>
      </c>
      <c r="G21" s="104">
        <v>0</v>
      </c>
      <c r="H21" s="114">
        <v>0</v>
      </c>
      <c r="I21" s="114">
        <v>200</v>
      </c>
      <c r="J21" s="103"/>
      <c r="K21" s="130"/>
      <c r="L21" s="97"/>
      <c r="M21" s="97"/>
    </row>
    <row r="22" spans="1:19" x14ac:dyDescent="0.2">
      <c r="A22" s="141" t="s">
        <v>11</v>
      </c>
      <c r="B22" s="104">
        <v>100</v>
      </c>
      <c r="C22" s="104">
        <v>0</v>
      </c>
      <c r="D22" s="104">
        <v>0</v>
      </c>
      <c r="E22" s="104">
        <v>0</v>
      </c>
      <c r="F22" s="104">
        <v>0</v>
      </c>
      <c r="G22" s="103">
        <v>0</v>
      </c>
      <c r="H22" s="103">
        <v>0</v>
      </c>
      <c r="I22" s="103">
        <v>0</v>
      </c>
      <c r="J22" s="103"/>
      <c r="K22" s="130"/>
      <c r="L22" s="97"/>
      <c r="M22" s="97"/>
    </row>
    <row r="23" spans="1:19" x14ac:dyDescent="0.2">
      <c r="A23" s="141" t="s">
        <v>12</v>
      </c>
      <c r="B23" s="104">
        <v>0</v>
      </c>
      <c r="C23" s="104">
        <v>50</v>
      </c>
      <c r="D23" s="104">
        <v>0</v>
      </c>
      <c r="E23" s="104">
        <v>0</v>
      </c>
      <c r="F23" s="104">
        <v>0</v>
      </c>
      <c r="G23" s="103">
        <v>0</v>
      </c>
      <c r="H23" s="103">
        <v>0</v>
      </c>
      <c r="I23" s="103">
        <v>0</v>
      </c>
      <c r="J23" s="103"/>
      <c r="K23" s="130"/>
      <c r="L23" s="97"/>
      <c r="M23" s="97"/>
    </row>
    <row r="24" spans="1:19" x14ac:dyDescent="0.2">
      <c r="A24" s="141" t="s">
        <v>13</v>
      </c>
      <c r="B24" s="104">
        <v>0</v>
      </c>
      <c r="C24" s="104">
        <v>0</v>
      </c>
      <c r="D24" s="104">
        <v>0</v>
      </c>
      <c r="E24" s="104">
        <v>0</v>
      </c>
      <c r="F24" s="104">
        <v>20</v>
      </c>
      <c r="G24" s="103">
        <v>0</v>
      </c>
      <c r="H24" s="103">
        <v>0</v>
      </c>
      <c r="I24" s="103">
        <v>0</v>
      </c>
      <c r="J24" s="103"/>
      <c r="K24" s="130"/>
      <c r="L24" s="97"/>
      <c r="M24" s="97"/>
    </row>
    <row r="25" spans="1:19" x14ac:dyDescent="0.2">
      <c r="A25" s="141" t="s">
        <v>16</v>
      </c>
      <c r="B25" s="104">
        <v>0</v>
      </c>
      <c r="C25" s="104">
        <v>0</v>
      </c>
      <c r="D25" s="104">
        <v>0</v>
      </c>
      <c r="E25" s="104">
        <v>0</v>
      </c>
      <c r="F25" s="104">
        <v>0</v>
      </c>
      <c r="G25" s="103">
        <v>0</v>
      </c>
      <c r="H25" s="103">
        <v>0</v>
      </c>
      <c r="I25" s="103">
        <v>0</v>
      </c>
      <c r="J25" s="103"/>
      <c r="K25" s="130"/>
      <c r="L25" s="97"/>
      <c r="M25" s="97"/>
    </row>
    <row r="26" spans="1:19" ht="16" thickBot="1" x14ac:dyDescent="0.25">
      <c r="A26" s="142" t="s">
        <v>17</v>
      </c>
      <c r="B26" s="105">
        <v>0</v>
      </c>
      <c r="C26" s="105">
        <v>0</v>
      </c>
      <c r="D26" s="105">
        <v>0</v>
      </c>
      <c r="E26" s="105">
        <v>0</v>
      </c>
      <c r="F26" s="105">
        <v>0</v>
      </c>
      <c r="G26" s="131">
        <v>0</v>
      </c>
      <c r="H26" s="131">
        <v>0</v>
      </c>
      <c r="I26" s="131">
        <v>0</v>
      </c>
      <c r="J26" s="131"/>
      <c r="K26" s="132"/>
      <c r="L26" s="97"/>
      <c r="M26" s="97"/>
    </row>
    <row r="27" spans="1:19" x14ac:dyDescent="0.2">
      <c r="A27" s="97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</row>
    <row r="28" spans="1:19" ht="16" thickBot="1" x14ac:dyDescent="0.25">
      <c r="A28" s="110" t="s">
        <v>36</v>
      </c>
      <c r="B28" s="99"/>
      <c r="C28" s="111"/>
      <c r="D28" s="99"/>
      <c r="E28" s="99"/>
      <c r="F28" s="99"/>
      <c r="G28" s="99"/>
      <c r="H28" s="99"/>
      <c r="I28" s="99"/>
      <c r="J28" s="99"/>
      <c r="K28" s="99"/>
      <c r="L28" s="97"/>
      <c r="M28" s="97"/>
    </row>
    <row r="29" spans="1:19" ht="16" thickBot="1" x14ac:dyDescent="0.25">
      <c r="A29" s="140" t="s">
        <v>1</v>
      </c>
      <c r="B29" s="100" t="s">
        <v>37</v>
      </c>
      <c r="C29" s="100" t="s">
        <v>38</v>
      </c>
      <c r="D29" s="100" t="s">
        <v>39</v>
      </c>
      <c r="E29" s="100" t="s">
        <v>40</v>
      </c>
      <c r="F29" s="100" t="s">
        <v>41</v>
      </c>
      <c r="G29" s="100" t="s">
        <v>42</v>
      </c>
      <c r="H29" s="100" t="s">
        <v>43</v>
      </c>
      <c r="I29" s="100" t="s">
        <v>44</v>
      </c>
      <c r="J29" s="100" t="s">
        <v>45</v>
      </c>
      <c r="K29" s="101" t="s">
        <v>46</v>
      </c>
      <c r="L29" s="97"/>
      <c r="M29" s="97"/>
    </row>
    <row r="30" spans="1:19" x14ac:dyDescent="0.2">
      <c r="A30" s="102" t="s">
        <v>7</v>
      </c>
      <c r="B30" s="103">
        <v>0</v>
      </c>
      <c r="C30" s="103">
        <v>0</v>
      </c>
      <c r="D30" s="103">
        <v>0</v>
      </c>
      <c r="E30" s="103">
        <v>0</v>
      </c>
      <c r="F30" s="103">
        <v>250</v>
      </c>
      <c r="G30" s="103">
        <v>90</v>
      </c>
      <c r="H30" s="112">
        <v>300</v>
      </c>
      <c r="I30" s="112">
        <v>0</v>
      </c>
      <c r="J30" s="112"/>
      <c r="K30" s="113"/>
      <c r="L30" s="97"/>
      <c r="M30" s="97"/>
    </row>
    <row r="31" spans="1:19" x14ac:dyDescent="0.2">
      <c r="A31" s="141" t="s">
        <v>8</v>
      </c>
      <c r="B31" s="104">
        <v>0</v>
      </c>
      <c r="C31" s="104">
        <v>0</v>
      </c>
      <c r="D31" s="104">
        <v>0</v>
      </c>
      <c r="E31" s="104">
        <v>0</v>
      </c>
      <c r="F31" s="104">
        <v>400</v>
      </c>
      <c r="G31" s="104">
        <v>200</v>
      </c>
      <c r="H31" s="114">
        <v>400</v>
      </c>
      <c r="I31" s="114">
        <v>0</v>
      </c>
      <c r="J31" s="114"/>
      <c r="K31" s="115"/>
      <c r="L31" s="97"/>
      <c r="M31" s="97"/>
    </row>
    <row r="32" spans="1:19" x14ac:dyDescent="0.2">
      <c r="A32" s="141" t="s">
        <v>9</v>
      </c>
      <c r="B32" s="104">
        <v>0</v>
      </c>
      <c r="C32" s="104">
        <v>0</v>
      </c>
      <c r="D32" s="104">
        <v>0</v>
      </c>
      <c r="E32" s="104">
        <v>0</v>
      </c>
      <c r="F32" s="104">
        <v>300</v>
      </c>
      <c r="G32" s="104">
        <v>0</v>
      </c>
      <c r="H32" s="114">
        <v>500</v>
      </c>
      <c r="I32" s="114">
        <v>200</v>
      </c>
      <c r="J32" s="114"/>
      <c r="K32" s="115"/>
      <c r="L32" s="97"/>
      <c r="M32" s="97"/>
    </row>
    <row r="33" spans="1:13" x14ac:dyDescent="0.2">
      <c r="A33" s="141" t="s">
        <v>10</v>
      </c>
      <c r="B33" s="104">
        <v>0</v>
      </c>
      <c r="C33" s="104">
        <v>0</v>
      </c>
      <c r="D33" s="104">
        <v>0</v>
      </c>
      <c r="E33" s="104">
        <v>0</v>
      </c>
      <c r="F33" s="104">
        <v>600</v>
      </c>
      <c r="G33" s="104">
        <v>800</v>
      </c>
      <c r="H33" s="114">
        <v>1000</v>
      </c>
      <c r="I33" s="114">
        <v>1400</v>
      </c>
      <c r="J33" s="114"/>
      <c r="K33" s="115"/>
      <c r="L33" s="97"/>
      <c r="M33" s="97"/>
    </row>
    <row r="34" spans="1:13" x14ac:dyDescent="0.2">
      <c r="A34" s="141" t="s">
        <v>11</v>
      </c>
      <c r="B34" s="104">
        <v>0</v>
      </c>
      <c r="C34" s="104">
        <v>0</v>
      </c>
      <c r="D34" s="104">
        <v>500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/>
      <c r="K34" s="115"/>
      <c r="L34" s="97"/>
      <c r="M34" s="97"/>
    </row>
    <row r="35" spans="1:13" x14ac:dyDescent="0.2">
      <c r="A35" s="141" t="s">
        <v>12</v>
      </c>
      <c r="B35" s="104">
        <v>0</v>
      </c>
      <c r="C35" s="104">
        <v>0</v>
      </c>
      <c r="D35" s="10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/>
      <c r="K35" s="115"/>
      <c r="L35" s="97"/>
      <c r="M35" s="97"/>
    </row>
    <row r="36" spans="1:13" x14ac:dyDescent="0.2">
      <c r="A36" s="141" t="s">
        <v>13</v>
      </c>
      <c r="B36" s="104">
        <v>0</v>
      </c>
      <c r="C36" s="104">
        <v>0</v>
      </c>
      <c r="D36" s="104">
        <v>0</v>
      </c>
      <c r="E36" s="104">
        <v>300</v>
      </c>
      <c r="F36" s="114">
        <v>0</v>
      </c>
      <c r="G36" s="114">
        <v>0</v>
      </c>
      <c r="H36" s="114">
        <v>0</v>
      </c>
      <c r="I36" s="114">
        <v>0</v>
      </c>
      <c r="J36" s="114"/>
      <c r="K36" s="115"/>
      <c r="L36" s="97"/>
      <c r="M36" s="97"/>
    </row>
    <row r="37" spans="1:13" x14ac:dyDescent="0.2">
      <c r="A37" s="141" t="s">
        <v>16</v>
      </c>
      <c r="B37" s="104">
        <v>0</v>
      </c>
      <c r="C37" s="104">
        <v>0</v>
      </c>
      <c r="D37" s="104">
        <v>700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/>
      <c r="K37" s="115"/>
      <c r="L37" s="97"/>
      <c r="M37" s="97"/>
    </row>
    <row r="38" spans="1:13" ht="16" thickBot="1" x14ac:dyDescent="0.25">
      <c r="A38" s="142" t="s">
        <v>17</v>
      </c>
      <c r="B38" s="105">
        <v>0</v>
      </c>
      <c r="C38" s="105">
        <v>0</v>
      </c>
      <c r="D38" s="105">
        <v>0</v>
      </c>
      <c r="E38" s="116">
        <v>0</v>
      </c>
      <c r="F38" s="116">
        <v>0</v>
      </c>
      <c r="G38" s="116">
        <v>0</v>
      </c>
      <c r="H38" s="116">
        <v>0</v>
      </c>
      <c r="I38" s="116">
        <v>0</v>
      </c>
      <c r="J38" s="116"/>
      <c r="K38" s="117"/>
      <c r="L38" s="97"/>
      <c r="M38" s="97"/>
    </row>
  </sheetData>
  <mergeCells count="5">
    <mergeCell ref="A10:B10"/>
    <mergeCell ref="A11:B11"/>
    <mergeCell ref="A12:B12"/>
    <mergeCell ref="A13:B13"/>
    <mergeCell ref="A14:B14"/>
  </mergeCells>
  <conditionalFormatting sqref="Q1:Q2">
    <cfRule type="expression" dxfId="95" priority="175">
      <formula>INDEX(Name,$A1)=""</formula>
    </cfRule>
  </conditionalFormatting>
  <conditionalFormatting sqref="B8:G8">
    <cfRule type="expression" dxfId="94" priority="16">
      <formula>INDEX(Name,$A8)=""</formula>
    </cfRule>
  </conditionalFormatting>
  <conditionalFormatting sqref="A10 C10:F10 A2:H2">
    <cfRule type="expression" dxfId="93" priority="15">
      <formula>CELL("protect",A2)=0</formula>
    </cfRule>
  </conditionalFormatting>
  <conditionalFormatting sqref="H10 J10:M10">
    <cfRule type="expression" dxfId="92" priority="14">
      <formula>CELL("protect",H10)=0</formula>
    </cfRule>
  </conditionalFormatting>
  <conditionalFormatting sqref="I10">
    <cfRule type="expression" dxfId="91" priority="13">
      <formula>CELL("protect",I10)=0</formula>
    </cfRule>
  </conditionalFormatting>
  <conditionalFormatting sqref="G10">
    <cfRule type="expression" dxfId="90" priority="12">
      <formula>CELL("protect",G10)=0</formula>
    </cfRule>
  </conditionalFormatting>
  <conditionalFormatting sqref="A17">
    <cfRule type="expression" dxfId="89" priority="10">
      <formula>CELL("protect",A17)=0</formula>
    </cfRule>
  </conditionalFormatting>
  <conditionalFormatting sqref="C16">
    <cfRule type="expression" dxfId="88" priority="11">
      <formula>SUM(L1048573:L1048573)&gt;0</formula>
    </cfRule>
  </conditionalFormatting>
  <conditionalFormatting sqref="B17:K17">
    <cfRule type="expression" dxfId="87" priority="9">
      <formula>CELL("protect",B17)=0</formula>
    </cfRule>
  </conditionalFormatting>
  <conditionalFormatting sqref="A29">
    <cfRule type="expression" dxfId="86" priority="7">
      <formula>CELL("protect",A29)=0</formula>
    </cfRule>
  </conditionalFormatting>
  <conditionalFormatting sqref="B29:K29">
    <cfRule type="expression" dxfId="85" priority="6">
      <formula>CELL("protect",B29)=0</formula>
    </cfRule>
  </conditionalFormatting>
  <conditionalFormatting sqref="C28">
    <cfRule type="expression" dxfId="84" priority="8">
      <formula>SUM(L18:L27)&gt;0</formula>
    </cfRule>
  </conditionalFormatting>
  <conditionalFormatting sqref="B30:K38">
    <cfRule type="expression" dxfId="83" priority="5">
      <formula>INDEX(Name,$A30)=""</formula>
    </cfRule>
  </conditionalFormatting>
  <conditionalFormatting sqref="B3:G7">
    <cfRule type="expression" dxfId="82" priority="4">
      <formula>INDEX(Name,$A3)=""</formula>
    </cfRule>
  </conditionalFormatting>
  <conditionalFormatting sqref="D12:K14">
    <cfRule type="expression" dxfId="81" priority="2">
      <formula>INDEX(Name,$A12)=""</formula>
    </cfRule>
  </conditionalFormatting>
  <conditionalFormatting sqref="E12:F14">
    <cfRule type="expression" dxfId="80" priority="3">
      <formula>AND(OR($D12="FP",$D12="FQ"),$E12="")</formula>
    </cfRule>
  </conditionalFormatting>
  <conditionalFormatting sqref="B18:K26">
    <cfRule type="expression" dxfId="79" priority="1">
      <formula>INDEX(Name,$A18)=""</formula>
    </cfRule>
  </conditionalFormatting>
  <dataValidations count="4">
    <dataValidation type="list" allowBlank="1" showInputMessage="1" showErrorMessage="1" errorTitle="Try again" error="Choose from the list" sqref="B3:B8" xr:uid="{52FEDC55-A11E-B346-BE1F-C5227E130F7A}">
      <formula1>"LFL, FP, SM, WW"</formula1>
    </dataValidation>
    <dataValidation type="decimal" operator="greaterThanOrEqual" allowBlank="1" showInputMessage="1" showErrorMessage="1" errorTitle="Values" error="Input must be greater than or equal zero" sqref="F3:G8 K12:K14" xr:uid="{D91A158B-3197-1745-8679-DAABE4E10BD7}">
      <formula1>0</formula1>
    </dataValidation>
    <dataValidation type="whole" operator="greaterThanOrEqual" allowBlank="1" showInputMessage="1" showErrorMessage="1" errorTitle="Values" error="Input must be integer greater than or equal zero" sqref="J12:J14 B30:K38 C3:E8 B18:K26" xr:uid="{50723855-B3BC-CF40-B194-528EA15E4923}">
      <formula1>0</formula1>
    </dataValidation>
    <dataValidation type="whole" operator="greaterThanOrEqual" allowBlank="1" showInputMessage="1" showErrorMessage="1" error="Input must be integer greater than or equal zero" sqref="C12:H14" xr:uid="{29AF2C9E-5C4A-2F42-8A72-529CD0EB8540}">
      <formula1>0</formula1>
    </dataValidation>
  </dataValidations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CEFF7-0979-4287-AC05-773ACAA35A02}">
  <sheetPr codeName="Worksheet______2">
    <tabColor rgb="FF00B050"/>
  </sheetPr>
  <dimension ref="A1:K11"/>
  <sheetViews>
    <sheetView showGridLines="0" zoomScale="125" workbookViewId="0">
      <selection activeCell="F22" sqref="F22"/>
    </sheetView>
  </sheetViews>
  <sheetFormatPr baseColWidth="10" defaultColWidth="8.83203125" defaultRowHeight="15" x14ac:dyDescent="0.2"/>
  <sheetData>
    <row r="1" spans="1:11" ht="16" thickBot="1" x14ac:dyDescent="0.25">
      <c r="A1" s="17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ht="16" thickBot="1" x14ac:dyDescent="0.25">
      <c r="A2" s="31" t="s">
        <v>79</v>
      </c>
      <c r="B2" s="3" t="s">
        <v>80</v>
      </c>
      <c r="C2" s="3" t="s">
        <v>81</v>
      </c>
      <c r="D2" s="3" t="s">
        <v>82</v>
      </c>
      <c r="E2" s="3" t="s">
        <v>83</v>
      </c>
      <c r="F2" s="3" t="s">
        <v>84</v>
      </c>
      <c r="G2" s="3" t="s">
        <v>85</v>
      </c>
      <c r="H2" s="3" t="s">
        <v>86</v>
      </c>
      <c r="I2" s="3" t="s">
        <v>87</v>
      </c>
      <c r="J2" s="3" t="s">
        <v>88</v>
      </c>
      <c r="K2" s="4" t="s">
        <v>89</v>
      </c>
    </row>
    <row r="3" spans="1:11" x14ac:dyDescent="0.2">
      <c r="A3" s="5" t="s">
        <v>7</v>
      </c>
      <c r="B3" s="6"/>
      <c r="C3" s="6"/>
      <c r="D3" s="6"/>
      <c r="E3" s="6">
        <v>230</v>
      </c>
      <c r="F3" s="6"/>
      <c r="G3" s="6">
        <v>300</v>
      </c>
      <c r="H3" s="6"/>
      <c r="I3" s="6"/>
      <c r="J3" s="6"/>
      <c r="K3" s="7"/>
    </row>
    <row r="4" spans="1:11" x14ac:dyDescent="0.2">
      <c r="A4" s="32" t="s">
        <v>8</v>
      </c>
      <c r="B4" s="8"/>
      <c r="C4" s="8"/>
      <c r="D4" s="8"/>
      <c r="E4" s="8">
        <v>390</v>
      </c>
      <c r="F4" s="8">
        <v>50</v>
      </c>
      <c r="G4" s="8">
        <v>400</v>
      </c>
      <c r="H4" s="8"/>
      <c r="I4" s="8"/>
      <c r="J4" s="8"/>
      <c r="K4" s="10"/>
    </row>
    <row r="5" spans="1:11" x14ac:dyDescent="0.2">
      <c r="A5" s="32" t="s">
        <v>9</v>
      </c>
      <c r="B5" s="8">
        <v>160</v>
      </c>
      <c r="C5" s="8"/>
      <c r="D5" s="8">
        <v>300</v>
      </c>
      <c r="E5" s="8"/>
      <c r="F5" s="8">
        <v>660</v>
      </c>
      <c r="G5" s="8"/>
      <c r="H5" s="8"/>
      <c r="I5" s="8"/>
      <c r="J5" s="8"/>
      <c r="K5" s="10"/>
    </row>
    <row r="6" spans="1:11" x14ac:dyDescent="0.2">
      <c r="A6" s="32" t="s">
        <v>10</v>
      </c>
      <c r="B6" s="8">
        <v>320</v>
      </c>
      <c r="C6" s="8"/>
      <c r="D6" s="8">
        <v>1220</v>
      </c>
      <c r="E6" s="8"/>
      <c r="F6" s="8">
        <v>3470</v>
      </c>
      <c r="G6" s="8"/>
      <c r="H6" s="8">
        <v>2200</v>
      </c>
      <c r="I6" s="8"/>
      <c r="J6" s="8"/>
      <c r="K6" s="10"/>
    </row>
    <row r="7" spans="1:11" x14ac:dyDescent="0.2">
      <c r="A7" s="32" t="s">
        <v>11</v>
      </c>
      <c r="B7" s="8">
        <v>360</v>
      </c>
      <c r="C7" s="8"/>
      <c r="D7" s="8">
        <v>2410</v>
      </c>
      <c r="E7" s="8"/>
      <c r="F7" s="8">
        <v>3180</v>
      </c>
      <c r="G7" s="8"/>
      <c r="H7" s="8"/>
      <c r="I7" s="8"/>
      <c r="J7" s="8"/>
      <c r="K7" s="10"/>
    </row>
    <row r="8" spans="1:11" x14ac:dyDescent="0.2">
      <c r="A8" s="32" t="s">
        <v>12</v>
      </c>
      <c r="B8" s="8">
        <v>1100</v>
      </c>
      <c r="C8" s="8"/>
      <c r="D8" s="8">
        <v>7270</v>
      </c>
      <c r="E8" s="8"/>
      <c r="F8" s="8">
        <v>9460</v>
      </c>
      <c r="G8" s="8"/>
      <c r="H8" s="8"/>
      <c r="I8" s="8"/>
      <c r="J8" s="8"/>
      <c r="K8" s="10"/>
    </row>
    <row r="9" spans="1:11" x14ac:dyDescent="0.2">
      <c r="A9" s="32" t="s">
        <v>13</v>
      </c>
      <c r="B9" s="8">
        <v>810</v>
      </c>
      <c r="C9" s="8"/>
      <c r="D9" s="8">
        <v>4860</v>
      </c>
      <c r="E9" s="8">
        <v>270</v>
      </c>
      <c r="F9" s="8">
        <v>6300</v>
      </c>
      <c r="G9" s="8"/>
      <c r="H9" s="8"/>
      <c r="I9" s="8"/>
      <c r="J9" s="8"/>
      <c r="K9" s="10"/>
    </row>
    <row r="10" spans="1:11" x14ac:dyDescent="0.2">
      <c r="A10" s="32" t="s">
        <v>16</v>
      </c>
      <c r="B10" s="8">
        <v>1285</v>
      </c>
      <c r="C10" s="8"/>
      <c r="D10" s="8">
        <v>5580</v>
      </c>
      <c r="E10" s="8"/>
      <c r="F10" s="8">
        <v>13875</v>
      </c>
      <c r="G10" s="8">
        <v>8805</v>
      </c>
      <c r="H10" s="8"/>
      <c r="I10" s="8"/>
      <c r="J10" s="8"/>
      <c r="K10" s="10"/>
    </row>
    <row r="11" spans="1:11" ht="16" thickBot="1" x14ac:dyDescent="0.25">
      <c r="A11" s="33" t="s">
        <v>17</v>
      </c>
      <c r="B11" s="9">
        <v>200</v>
      </c>
      <c r="C11" s="9"/>
      <c r="D11" s="9">
        <v>300</v>
      </c>
      <c r="E11" s="9"/>
      <c r="F11" s="9">
        <v>650</v>
      </c>
      <c r="G11" s="9"/>
      <c r="H11" s="9"/>
      <c r="I11" s="9"/>
      <c r="J11" s="9"/>
      <c r="K11" s="11"/>
    </row>
  </sheetData>
  <conditionalFormatting sqref="B3:K11">
    <cfRule type="expression" dxfId="78" priority="1">
      <formula>INDEX(Name,$A3)=""</formula>
    </cfRule>
  </conditionalFormatting>
  <pageMargins left="0.7" right="0.7" top="0.75" bottom="0.75" header="0.3" footer="0.3"/>
  <drawing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7282A-2B17-4BD5-ADB0-DAC2EC08CAE0}">
  <sheetPr codeName="Worksheet______3">
    <tabColor theme="5" tint="-0.249977111117893"/>
  </sheetPr>
  <dimension ref="A1:K13"/>
  <sheetViews>
    <sheetView showGridLines="0" zoomScale="117" workbookViewId="0">
      <selection activeCell="F9" sqref="F9"/>
    </sheetView>
  </sheetViews>
  <sheetFormatPr baseColWidth="10" defaultColWidth="8.83203125" defaultRowHeight="15" x14ac:dyDescent="0.2"/>
  <sheetData>
    <row r="1" spans="1:11" ht="16" thickBot="1" x14ac:dyDescent="0.25">
      <c r="A1" s="1" t="s">
        <v>49</v>
      </c>
    </row>
    <row r="2" spans="1:11" ht="16" thickBot="1" x14ac:dyDescent="0.25">
      <c r="D2" s="22" t="s">
        <v>2</v>
      </c>
      <c r="E2" s="3" t="s">
        <v>3</v>
      </c>
      <c r="F2" s="3" t="s">
        <v>4</v>
      </c>
      <c r="G2" s="3" t="s">
        <v>5</v>
      </c>
      <c r="H2" s="3" t="s">
        <v>24</v>
      </c>
      <c r="I2" s="3" t="s">
        <v>90</v>
      </c>
      <c r="J2" s="4" t="s">
        <v>6</v>
      </c>
    </row>
    <row r="3" spans="1:11" ht="16" thickBot="1" x14ac:dyDescent="0.25">
      <c r="A3" s="23" t="s">
        <v>7</v>
      </c>
      <c r="B3" s="24" t="s">
        <v>50</v>
      </c>
      <c r="D3" s="54" t="s">
        <v>97</v>
      </c>
      <c r="E3" s="55">
        <v>1</v>
      </c>
      <c r="F3" s="55">
        <v>50</v>
      </c>
      <c r="G3" s="55">
        <v>100</v>
      </c>
      <c r="H3" s="55">
        <v>100</v>
      </c>
      <c r="I3" s="55"/>
      <c r="J3" s="56">
        <v>1</v>
      </c>
    </row>
    <row r="4" spans="1:11" ht="16" thickBot="1" x14ac:dyDescent="0.25"/>
    <row r="5" spans="1:11" ht="16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1" ht="32" x14ac:dyDescent="0.2">
      <c r="A6" s="28" t="s">
        <v>52</v>
      </c>
      <c r="B6" s="6">
        <v>0</v>
      </c>
      <c r="C6" s="6">
        <v>0</v>
      </c>
      <c r="D6" s="6">
        <v>0</v>
      </c>
      <c r="E6" s="6">
        <v>0</v>
      </c>
      <c r="F6" s="6">
        <v>250</v>
      </c>
      <c r="G6" s="6">
        <v>90</v>
      </c>
      <c r="H6" s="6">
        <v>300</v>
      </c>
      <c r="I6" s="6">
        <v>0</v>
      </c>
      <c r="J6" s="6">
        <v>0</v>
      </c>
      <c r="K6" s="7">
        <v>0</v>
      </c>
    </row>
    <row r="7" spans="1:11" ht="32" x14ac:dyDescent="0.2">
      <c r="A7" s="29" t="s">
        <v>53</v>
      </c>
      <c r="B7" s="15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7">
        <v>0</v>
      </c>
    </row>
    <row r="8" spans="1:11" ht="18" x14ac:dyDescent="0.2">
      <c r="A8" s="29" t="s">
        <v>54</v>
      </c>
      <c r="B8" s="15">
        <v>0</v>
      </c>
      <c r="C8" s="6">
        <v>0</v>
      </c>
      <c r="D8" s="6">
        <v>0</v>
      </c>
      <c r="E8" s="6">
        <v>0</v>
      </c>
      <c r="F8" s="6">
        <v>250</v>
      </c>
      <c r="G8" s="6">
        <v>90</v>
      </c>
      <c r="H8" s="6">
        <v>300</v>
      </c>
      <c r="I8" s="6">
        <v>0</v>
      </c>
      <c r="J8" s="6">
        <v>0</v>
      </c>
      <c r="K8" s="7">
        <v>0</v>
      </c>
    </row>
    <row r="9" spans="1:11" ht="18" x14ac:dyDescent="0.2">
      <c r="A9" s="29" t="s">
        <v>55</v>
      </c>
      <c r="B9" s="6">
        <v>10</v>
      </c>
      <c r="C9" s="6">
        <v>0</v>
      </c>
      <c r="D9" s="6">
        <v>0</v>
      </c>
      <c r="E9" s="6">
        <v>50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7">
        <v>0</v>
      </c>
    </row>
    <row r="10" spans="1:11" ht="18" x14ac:dyDescent="0.2">
      <c r="A10" s="29" t="s">
        <v>56</v>
      </c>
      <c r="B10" s="15">
        <v>110</v>
      </c>
      <c r="C10" s="6">
        <v>110</v>
      </c>
      <c r="D10" s="6">
        <v>110</v>
      </c>
      <c r="E10" s="6">
        <v>160</v>
      </c>
      <c r="F10" s="6">
        <v>50</v>
      </c>
      <c r="G10" s="6">
        <v>50</v>
      </c>
      <c r="H10" s="6">
        <v>50</v>
      </c>
      <c r="I10" s="6">
        <v>50</v>
      </c>
      <c r="J10" s="6">
        <v>50</v>
      </c>
      <c r="K10" s="7">
        <v>50</v>
      </c>
    </row>
    <row r="11" spans="1:11" ht="18" x14ac:dyDescent="0.2">
      <c r="A11" s="29" t="s">
        <v>57</v>
      </c>
      <c r="B11" s="15">
        <v>0</v>
      </c>
      <c r="C11" s="6">
        <v>0</v>
      </c>
      <c r="D11" s="6">
        <v>0</v>
      </c>
      <c r="E11" s="6">
        <v>0</v>
      </c>
      <c r="F11" s="6">
        <v>140</v>
      </c>
      <c r="G11" s="6">
        <v>90</v>
      </c>
      <c r="H11" s="6">
        <v>300</v>
      </c>
      <c r="I11" s="6">
        <v>0</v>
      </c>
      <c r="J11" s="6">
        <v>0</v>
      </c>
      <c r="K11" s="7">
        <v>0</v>
      </c>
    </row>
    <row r="12" spans="1:11" ht="18" x14ac:dyDescent="0.2">
      <c r="A12" s="29" t="s">
        <v>58</v>
      </c>
      <c r="B12" s="15">
        <v>0</v>
      </c>
      <c r="C12" s="6">
        <v>0</v>
      </c>
      <c r="D12" s="6">
        <v>0</v>
      </c>
      <c r="E12" s="6">
        <v>140</v>
      </c>
      <c r="F12" s="6">
        <v>90</v>
      </c>
      <c r="G12" s="6">
        <v>300</v>
      </c>
      <c r="H12" s="6">
        <v>0</v>
      </c>
      <c r="I12" s="6">
        <v>0</v>
      </c>
      <c r="J12" s="6">
        <v>0</v>
      </c>
      <c r="K12" s="7">
        <v>0</v>
      </c>
    </row>
    <row r="13" spans="1:11" ht="19" thickBot="1" x14ac:dyDescent="0.25">
      <c r="A13" s="30" t="s">
        <v>59</v>
      </c>
      <c r="B13" s="16">
        <v>0</v>
      </c>
      <c r="C13" s="12">
        <v>0</v>
      </c>
      <c r="D13" s="12">
        <v>0</v>
      </c>
      <c r="E13" s="12">
        <v>230</v>
      </c>
      <c r="F13" s="12">
        <v>0</v>
      </c>
      <c r="G13" s="12">
        <v>300</v>
      </c>
      <c r="H13" s="12">
        <v>0</v>
      </c>
      <c r="I13" s="12">
        <v>0</v>
      </c>
      <c r="J13" s="12">
        <v>0</v>
      </c>
      <c r="K13" s="13">
        <v>0</v>
      </c>
    </row>
  </sheetData>
  <conditionalFormatting sqref="B7:K8 B10:K13 C6:K13">
    <cfRule type="expression" dxfId="77" priority="6">
      <formula>INDEX(Name,$A6)=""</formula>
    </cfRule>
  </conditionalFormatting>
  <conditionalFormatting sqref="D2:J2">
    <cfRule type="expression" dxfId="76" priority="5">
      <formula>CELL("protect",D2)=0</formula>
    </cfRule>
  </conditionalFormatting>
  <conditionalFormatting sqref="D3:I3">
    <cfRule type="expression" dxfId="75" priority="4">
      <formula>INDEX(Name,$A3)=""</formula>
    </cfRule>
  </conditionalFormatting>
  <conditionalFormatting sqref="B9:K9">
    <cfRule type="expression" dxfId="74" priority="3">
      <formula>INDEX(Name,$A9)=""</formula>
    </cfRule>
  </conditionalFormatting>
  <conditionalFormatting sqref="B6:K6">
    <cfRule type="expression" dxfId="73" priority="1">
      <formula>INDEX(Name,$A6)=""</formula>
    </cfRule>
  </conditionalFormatting>
  <dataValidations count="3">
    <dataValidation type="whole" operator="greaterThanOrEqual" allowBlank="1" showInputMessage="1" showErrorMessage="1" errorTitle="Values" error="Input must be integer greater than or equal zero" sqref="E3:G3 B9:K9 B6:K6" xr:uid="{22EE429F-2433-4814-87BD-B0986E0854AD}">
      <formula1>0</formula1>
    </dataValidation>
    <dataValidation type="decimal" operator="greaterThanOrEqual" allowBlank="1" showInputMessage="1" showErrorMessage="1" errorTitle="Values" error="Input must be greater than or equal zero" sqref="H3:I3" xr:uid="{4A03C0FC-AE4C-4359-82B3-E967756D5A71}">
      <formula1>0</formula1>
    </dataValidation>
    <dataValidation type="list" allowBlank="1" showInputMessage="1" showErrorMessage="1" errorTitle="Try again" error="Choose from the list" sqref="D3" xr:uid="{BBAC0E48-B96C-4017-862C-B1C1F812A25D}">
      <formula1>"LFL, FP, SM, WW"</formula1>
    </dataValidation>
  </dataValidations>
  <pageMargins left="0.7" right="0.7" top="0.75" bottom="0.75" header="0.3" footer="0.3"/>
  <drawing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68F4E-8DED-44DE-A95D-A8839C916D6D}">
  <sheetPr codeName="Worksheet______4">
    <tabColor theme="5" tint="-0.249977111117893"/>
  </sheetPr>
  <dimension ref="A1:K13"/>
  <sheetViews>
    <sheetView showGridLines="0" zoomScale="110" zoomScaleNormal="110" workbookViewId="0">
      <selection activeCell="F14" sqref="F14"/>
    </sheetView>
  </sheetViews>
  <sheetFormatPr baseColWidth="10" defaultColWidth="8.83203125" defaultRowHeight="15" x14ac:dyDescent="0.2"/>
  <sheetData>
    <row r="1" spans="1:11" ht="16" thickBot="1" x14ac:dyDescent="0.25">
      <c r="A1" s="1" t="s">
        <v>62</v>
      </c>
    </row>
    <row r="2" spans="1:11" ht="16" thickBot="1" x14ac:dyDescent="0.25">
      <c r="D2" s="22" t="s">
        <v>2</v>
      </c>
      <c r="E2" s="3" t="s">
        <v>3</v>
      </c>
      <c r="F2" s="3" t="s">
        <v>4</v>
      </c>
      <c r="G2" s="3" t="s">
        <v>5</v>
      </c>
      <c r="H2" s="3" t="s">
        <v>24</v>
      </c>
      <c r="I2" s="3" t="s">
        <v>90</v>
      </c>
      <c r="J2" s="4" t="s">
        <v>6</v>
      </c>
    </row>
    <row r="3" spans="1:11" ht="16" thickBot="1" x14ac:dyDescent="0.25">
      <c r="A3" s="23" t="s">
        <v>8</v>
      </c>
      <c r="B3" s="24" t="s">
        <v>50</v>
      </c>
      <c r="D3" s="57" t="s">
        <v>99</v>
      </c>
      <c r="E3" s="58">
        <v>1</v>
      </c>
      <c r="F3" s="58">
        <v>0</v>
      </c>
      <c r="G3" s="58">
        <v>10</v>
      </c>
      <c r="H3" s="58">
        <v>30</v>
      </c>
      <c r="I3" s="58"/>
      <c r="J3" s="59">
        <v>1</v>
      </c>
    </row>
    <row r="4" spans="1:11" ht="16" thickBot="1" x14ac:dyDescent="0.25"/>
    <row r="5" spans="1:11" ht="16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1" ht="32" x14ac:dyDescent="0.2">
      <c r="A6" s="28" t="s">
        <v>52</v>
      </c>
      <c r="B6" s="8">
        <v>0</v>
      </c>
      <c r="C6" s="8">
        <v>0</v>
      </c>
      <c r="D6" s="8">
        <v>0</v>
      </c>
      <c r="E6" s="8">
        <v>0</v>
      </c>
      <c r="F6" s="8">
        <v>400</v>
      </c>
      <c r="G6" s="8">
        <v>200</v>
      </c>
      <c r="H6" s="8">
        <v>400</v>
      </c>
      <c r="I6" s="8">
        <v>0</v>
      </c>
      <c r="J6" s="8">
        <v>0</v>
      </c>
      <c r="K6" s="10">
        <v>0</v>
      </c>
    </row>
    <row r="7" spans="1:11" ht="32" x14ac:dyDescent="0.2">
      <c r="A7" s="29" t="s">
        <v>53</v>
      </c>
      <c r="B7" s="15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10">
        <v>0</v>
      </c>
    </row>
    <row r="8" spans="1:11" ht="18" x14ac:dyDescent="0.2">
      <c r="A8" s="29" t="s">
        <v>54</v>
      </c>
      <c r="B8" s="15">
        <v>0</v>
      </c>
      <c r="C8" s="15">
        <v>0</v>
      </c>
      <c r="D8" s="15">
        <v>0</v>
      </c>
      <c r="E8" s="15">
        <v>0</v>
      </c>
      <c r="F8" s="15">
        <v>400</v>
      </c>
      <c r="G8" s="15">
        <v>200</v>
      </c>
      <c r="H8" s="15">
        <v>400</v>
      </c>
      <c r="I8" s="15">
        <v>0</v>
      </c>
      <c r="J8" s="15">
        <v>0</v>
      </c>
      <c r="K8" s="51">
        <v>0</v>
      </c>
    </row>
    <row r="9" spans="1:11" ht="18" x14ac:dyDescent="0.2">
      <c r="A9" s="29" t="s">
        <v>55</v>
      </c>
      <c r="B9" s="15">
        <v>0</v>
      </c>
      <c r="C9" s="8">
        <v>0</v>
      </c>
      <c r="D9" s="8">
        <v>0</v>
      </c>
      <c r="E9" s="8">
        <v>0</v>
      </c>
      <c r="F9" s="8">
        <v>0</v>
      </c>
      <c r="G9" s="8">
        <v>150</v>
      </c>
      <c r="H9" s="8">
        <v>0</v>
      </c>
      <c r="I9" s="8">
        <v>0</v>
      </c>
      <c r="J9" s="8">
        <v>0</v>
      </c>
      <c r="K9" s="10">
        <v>0</v>
      </c>
    </row>
    <row r="10" spans="1:11" ht="18" x14ac:dyDescent="0.2">
      <c r="A10" s="29" t="s">
        <v>56</v>
      </c>
      <c r="B10" s="15">
        <v>10</v>
      </c>
      <c r="C10" s="8">
        <v>10</v>
      </c>
      <c r="D10" s="8">
        <v>10</v>
      </c>
      <c r="E10" s="8">
        <v>10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10">
        <v>0</v>
      </c>
    </row>
    <row r="11" spans="1:11" ht="18" x14ac:dyDescent="0.2">
      <c r="A11" s="29" t="s">
        <v>57</v>
      </c>
      <c r="B11" s="15">
        <v>0</v>
      </c>
      <c r="C11" s="8">
        <v>0</v>
      </c>
      <c r="D11" s="8">
        <v>0</v>
      </c>
      <c r="E11" s="8">
        <v>0</v>
      </c>
      <c r="F11" s="8">
        <v>390</v>
      </c>
      <c r="G11" s="8">
        <v>50</v>
      </c>
      <c r="H11" s="8">
        <v>400</v>
      </c>
      <c r="I11" s="8">
        <v>0</v>
      </c>
      <c r="J11" s="8">
        <v>0</v>
      </c>
      <c r="K11" s="10">
        <v>0</v>
      </c>
    </row>
    <row r="12" spans="1:11" ht="18" x14ac:dyDescent="0.2">
      <c r="A12" s="29" t="s">
        <v>58</v>
      </c>
      <c r="B12" s="15">
        <v>0</v>
      </c>
      <c r="C12" s="8">
        <v>0</v>
      </c>
      <c r="D12" s="8">
        <v>0</v>
      </c>
      <c r="E12" s="8">
        <v>390</v>
      </c>
      <c r="F12" s="8">
        <v>50</v>
      </c>
      <c r="G12" s="8">
        <v>400</v>
      </c>
      <c r="H12" s="8">
        <v>0</v>
      </c>
      <c r="I12" s="8">
        <v>0</v>
      </c>
      <c r="J12" s="8">
        <v>0</v>
      </c>
      <c r="K12" s="10">
        <v>0</v>
      </c>
    </row>
    <row r="13" spans="1:11" ht="19" thickBot="1" x14ac:dyDescent="0.25">
      <c r="A13" s="30" t="s">
        <v>59</v>
      </c>
      <c r="B13" s="16">
        <v>0</v>
      </c>
      <c r="C13" s="9">
        <v>0</v>
      </c>
      <c r="D13" s="9">
        <v>0</v>
      </c>
      <c r="E13" s="9">
        <v>390</v>
      </c>
      <c r="F13" s="9">
        <v>50</v>
      </c>
      <c r="G13" s="9">
        <v>400</v>
      </c>
      <c r="H13" s="9">
        <v>0</v>
      </c>
      <c r="I13" s="9">
        <v>0</v>
      </c>
      <c r="J13" s="9">
        <v>0</v>
      </c>
      <c r="K13" s="11">
        <v>0</v>
      </c>
    </row>
  </sheetData>
  <conditionalFormatting sqref="B7:K13">
    <cfRule type="expression" dxfId="72" priority="5">
      <formula>INDEX(Name,$A7)=""</formula>
    </cfRule>
  </conditionalFormatting>
  <conditionalFormatting sqref="D2:J2">
    <cfRule type="expression" dxfId="71" priority="3">
      <formula>CELL("protect",D2)=0</formula>
    </cfRule>
  </conditionalFormatting>
  <conditionalFormatting sqref="D3:I3">
    <cfRule type="expression" dxfId="70" priority="2">
      <formula>INDEX(Name,$A3)=""</formula>
    </cfRule>
  </conditionalFormatting>
  <conditionalFormatting sqref="B6:K6">
    <cfRule type="expression" dxfId="69" priority="1">
      <formula>INDEX(Name,$A6)=""</formula>
    </cfRule>
  </conditionalFormatting>
  <dataValidations count="3">
    <dataValidation type="decimal" operator="greaterThanOrEqual" allowBlank="1" showInputMessage="1" showErrorMessage="1" errorTitle="Values" error="Input must be greater than or equal zero" sqref="H3:I3" xr:uid="{F587F07B-4220-44F2-B03F-096159328997}">
      <formula1>0</formula1>
    </dataValidation>
    <dataValidation type="whole" operator="greaterThanOrEqual" allowBlank="1" showInputMessage="1" showErrorMessage="1" errorTitle="Values" error="Input must be integer greater than or equal zero" sqref="E3:G3 B6:K6" xr:uid="{C03F216C-9B47-4905-8907-0520E198F0FD}">
      <formula1>0</formula1>
    </dataValidation>
    <dataValidation type="list" allowBlank="1" showInputMessage="1" showErrorMessage="1" errorTitle="Try again" error="Choose from the list" sqref="D3" xr:uid="{FA1C0134-DC9D-453B-BB9D-9AFD344E4814}">
      <formula1>"LFL, FP, SM, WW"</formula1>
    </dataValidation>
  </dataValidations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4172F-8487-43DF-B850-0B6D46BA5045}">
  <sheetPr codeName="Worksheet______6">
    <tabColor theme="5" tint="-0.249977111117893"/>
  </sheetPr>
  <dimension ref="A1:K13"/>
  <sheetViews>
    <sheetView showGridLines="0" topLeftCell="A2" zoomScale="150" workbookViewId="0">
      <selection activeCell="B17" sqref="B17"/>
    </sheetView>
  </sheetViews>
  <sheetFormatPr baseColWidth="10" defaultColWidth="8.83203125" defaultRowHeight="15" x14ac:dyDescent="0.2"/>
  <sheetData>
    <row r="1" spans="1:11" ht="16" thickBot="1" x14ac:dyDescent="0.25">
      <c r="A1" s="1" t="s">
        <v>60</v>
      </c>
    </row>
    <row r="2" spans="1:11" ht="16" thickBot="1" x14ac:dyDescent="0.25">
      <c r="D2" s="22" t="s">
        <v>2</v>
      </c>
      <c r="E2" s="3" t="s">
        <v>3</v>
      </c>
      <c r="F2" s="3" t="s">
        <v>4</v>
      </c>
      <c r="G2" s="3" t="s">
        <v>5</v>
      </c>
      <c r="H2" s="3" t="s">
        <v>24</v>
      </c>
      <c r="I2" s="3" t="s">
        <v>90</v>
      </c>
      <c r="J2" s="4" t="s">
        <v>6</v>
      </c>
    </row>
    <row r="3" spans="1:11" ht="16" thickBot="1" x14ac:dyDescent="0.25">
      <c r="A3" s="23" t="s">
        <v>10</v>
      </c>
      <c r="B3" s="24" t="s">
        <v>50</v>
      </c>
      <c r="D3" s="57" t="s">
        <v>98</v>
      </c>
      <c r="E3" s="58">
        <v>0</v>
      </c>
      <c r="F3" s="58">
        <v>0</v>
      </c>
      <c r="G3" s="58">
        <v>0</v>
      </c>
      <c r="H3" s="58">
        <v>60</v>
      </c>
      <c r="I3" s="58">
        <v>2</v>
      </c>
      <c r="J3" s="59">
        <v>20</v>
      </c>
    </row>
    <row r="4" spans="1:11" ht="16" thickBot="1" x14ac:dyDescent="0.25"/>
    <row r="5" spans="1:11" ht="16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1" ht="32" x14ac:dyDescent="0.2">
      <c r="A6" s="28" t="s">
        <v>52</v>
      </c>
      <c r="B6" s="8">
        <v>0</v>
      </c>
      <c r="C6" s="8">
        <v>0</v>
      </c>
      <c r="D6" s="8">
        <v>0</v>
      </c>
      <c r="E6" s="8">
        <v>0</v>
      </c>
      <c r="F6" s="8">
        <v>600</v>
      </c>
      <c r="G6" s="8">
        <v>800</v>
      </c>
      <c r="H6" s="8">
        <v>1000</v>
      </c>
      <c r="I6" s="8">
        <v>1400</v>
      </c>
      <c r="J6" s="8">
        <v>0</v>
      </c>
      <c r="K6" s="10">
        <v>0</v>
      </c>
    </row>
    <row r="7" spans="1:11" ht="32" x14ac:dyDescent="0.2">
      <c r="A7" s="29" t="s">
        <v>53</v>
      </c>
      <c r="B7" s="15">
        <v>320</v>
      </c>
      <c r="C7" s="15">
        <v>0</v>
      </c>
      <c r="D7" s="15">
        <v>600</v>
      </c>
      <c r="E7" s="15">
        <v>620</v>
      </c>
      <c r="F7" s="15">
        <v>1370</v>
      </c>
      <c r="G7" s="15">
        <v>700</v>
      </c>
      <c r="H7" s="15">
        <v>0</v>
      </c>
      <c r="I7" s="15">
        <v>0</v>
      </c>
      <c r="J7" s="8">
        <v>0</v>
      </c>
      <c r="K7" s="10">
        <v>0</v>
      </c>
    </row>
    <row r="8" spans="1:11" ht="18" x14ac:dyDescent="0.2">
      <c r="A8" s="29" t="s">
        <v>54</v>
      </c>
      <c r="B8" s="15">
        <v>320</v>
      </c>
      <c r="C8" s="15">
        <v>0</v>
      </c>
      <c r="D8" s="15">
        <v>600</v>
      </c>
      <c r="E8" s="15">
        <v>620</v>
      </c>
      <c r="F8" s="15">
        <v>1970</v>
      </c>
      <c r="G8" s="15">
        <v>1500</v>
      </c>
      <c r="H8" s="15">
        <v>1000</v>
      </c>
      <c r="I8" s="15">
        <v>1400</v>
      </c>
      <c r="J8" s="8">
        <v>0</v>
      </c>
      <c r="K8" s="10">
        <v>0</v>
      </c>
    </row>
    <row r="9" spans="1:11" ht="18" x14ac:dyDescent="0.2">
      <c r="A9" s="29" t="s">
        <v>55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200</v>
      </c>
      <c r="J9" s="8">
        <v>0</v>
      </c>
      <c r="K9" s="10">
        <v>0</v>
      </c>
    </row>
    <row r="10" spans="1:11" ht="18" x14ac:dyDescent="0.2">
      <c r="A10" s="29" t="s">
        <v>56</v>
      </c>
      <c r="B10" s="15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10">
        <v>0</v>
      </c>
    </row>
    <row r="11" spans="1:11" ht="18" x14ac:dyDescent="0.2">
      <c r="A11" s="29" t="s">
        <v>57</v>
      </c>
      <c r="B11" s="15">
        <v>320</v>
      </c>
      <c r="C11" s="8">
        <v>0</v>
      </c>
      <c r="D11" s="8">
        <v>600</v>
      </c>
      <c r="E11" s="8">
        <v>620</v>
      </c>
      <c r="F11" s="8">
        <v>1970</v>
      </c>
      <c r="G11" s="8">
        <v>1500</v>
      </c>
      <c r="H11" s="8">
        <v>1000</v>
      </c>
      <c r="I11" s="8">
        <v>1200</v>
      </c>
      <c r="J11" s="8">
        <v>0</v>
      </c>
      <c r="K11" s="10">
        <v>0</v>
      </c>
    </row>
    <row r="12" spans="1:11" ht="18" x14ac:dyDescent="0.2">
      <c r="A12" s="29" t="s">
        <v>58</v>
      </c>
      <c r="B12" s="15">
        <v>320</v>
      </c>
      <c r="C12" s="8">
        <v>0</v>
      </c>
      <c r="D12" s="8">
        <v>600</v>
      </c>
      <c r="E12" s="8">
        <v>620</v>
      </c>
      <c r="F12" s="8">
        <v>1970</v>
      </c>
      <c r="G12" s="8">
        <v>1500</v>
      </c>
      <c r="H12" s="8">
        <v>1000</v>
      </c>
      <c r="I12" s="8">
        <v>1200</v>
      </c>
      <c r="J12" s="8">
        <v>0</v>
      </c>
      <c r="K12" s="10">
        <v>0</v>
      </c>
    </row>
    <row r="13" spans="1:11" ht="19" thickBot="1" x14ac:dyDescent="0.25">
      <c r="A13" s="30" t="s">
        <v>59</v>
      </c>
      <c r="B13" s="16">
        <v>320</v>
      </c>
      <c r="C13" s="9">
        <v>0</v>
      </c>
      <c r="D13" s="9">
        <v>1220</v>
      </c>
      <c r="E13" s="9">
        <v>0</v>
      </c>
      <c r="F13" s="9">
        <v>3470</v>
      </c>
      <c r="G13" s="9">
        <v>0</v>
      </c>
      <c r="H13" s="9">
        <v>2200</v>
      </c>
      <c r="I13" s="9">
        <v>0</v>
      </c>
      <c r="J13" s="9">
        <v>0</v>
      </c>
      <c r="K13" s="11">
        <v>0</v>
      </c>
    </row>
  </sheetData>
  <conditionalFormatting sqref="B7:I8 B13:K13 B10:I12">
    <cfRule type="expression" dxfId="68" priority="6">
      <formula>INDEX(Name,$A7)=""</formula>
    </cfRule>
  </conditionalFormatting>
  <conditionalFormatting sqref="D2:J2">
    <cfRule type="expression" dxfId="67" priority="4">
      <formula>CELL("protect",D2)=0</formula>
    </cfRule>
  </conditionalFormatting>
  <conditionalFormatting sqref="D3:I3">
    <cfRule type="expression" dxfId="66" priority="3">
      <formula>INDEX(Name,$A3)=""</formula>
    </cfRule>
  </conditionalFormatting>
  <conditionalFormatting sqref="B9:I9">
    <cfRule type="expression" dxfId="65" priority="2">
      <formula>INDEX(Name,$A9)=""</formula>
    </cfRule>
  </conditionalFormatting>
  <conditionalFormatting sqref="B6:K6 J7:K12">
    <cfRule type="expression" dxfId="64" priority="1">
      <formula>INDEX(Name,$A6)=""</formula>
    </cfRule>
  </conditionalFormatting>
  <dataValidations count="3">
    <dataValidation type="decimal" operator="greaterThanOrEqual" allowBlank="1" showInputMessage="1" showErrorMessage="1" errorTitle="Values" error="Input must be greater than or equal zero" sqref="H3:I3" xr:uid="{0D3AF3C9-41C3-4178-8135-234444EBB4DC}">
      <formula1>0</formula1>
    </dataValidation>
    <dataValidation type="whole" operator="greaterThanOrEqual" allowBlank="1" showInputMessage="1" showErrorMessage="1" errorTitle="Values" error="Input must be integer greater than or equal zero" sqref="E3:G3 B6:K6 B9:K9 J7:K8 J10:K12" xr:uid="{420D7047-9031-4EF3-91BE-BEB997358395}">
      <formula1>0</formula1>
    </dataValidation>
    <dataValidation type="list" allowBlank="1" showInputMessage="1" showErrorMessage="1" errorTitle="Try again" error="Choose from the list" sqref="D3" xr:uid="{272BCBDE-6881-49AD-8836-281CA4BE6528}">
      <formula1>"LFL, FP, SM, WW"</formula1>
    </dataValidation>
  </dataValidations>
  <pageMargins left="0.7" right="0.7" top="0.75" bottom="0.75" header="0.3" footer="0.3"/>
  <drawing r:id="rId1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43CFF-0E9A-4107-8C68-2266C1881037}">
  <sheetPr codeName="Worksheet______5">
    <tabColor theme="5" tint="-0.249977111117893"/>
  </sheetPr>
  <dimension ref="A1:K13"/>
  <sheetViews>
    <sheetView showGridLines="0" zoomScale="89" zoomScaleNormal="89" workbookViewId="0">
      <selection activeCell="F3" sqref="F3"/>
    </sheetView>
  </sheetViews>
  <sheetFormatPr baseColWidth="10" defaultColWidth="8.83203125" defaultRowHeight="15" x14ac:dyDescent="0.2"/>
  <sheetData>
    <row r="1" spans="1:11" ht="16" thickBot="1" x14ac:dyDescent="0.25">
      <c r="A1" s="1" t="s">
        <v>61</v>
      </c>
    </row>
    <row r="2" spans="1:11" ht="16" thickBot="1" x14ac:dyDescent="0.25">
      <c r="D2" s="22" t="s">
        <v>2</v>
      </c>
      <c r="E2" s="3" t="s">
        <v>3</v>
      </c>
      <c r="F2" s="3" t="s">
        <v>4</v>
      </c>
      <c r="G2" s="3" t="s">
        <v>5</v>
      </c>
      <c r="H2" s="3" t="s">
        <v>24</v>
      </c>
      <c r="I2" s="3" t="s">
        <v>90</v>
      </c>
      <c r="J2" s="4" t="s">
        <v>6</v>
      </c>
    </row>
    <row r="3" spans="1:11" ht="16" thickBot="1" x14ac:dyDescent="0.25">
      <c r="A3" s="23" t="s">
        <v>9</v>
      </c>
      <c r="B3" s="24" t="s">
        <v>50</v>
      </c>
      <c r="D3" s="57" t="s">
        <v>96</v>
      </c>
      <c r="E3" s="58">
        <v>2</v>
      </c>
      <c r="F3" s="58">
        <v>200</v>
      </c>
      <c r="G3" s="58">
        <v>40</v>
      </c>
      <c r="H3" s="58">
        <v>500</v>
      </c>
      <c r="I3" s="58"/>
      <c r="J3" s="59">
        <v>2.2000000000000002</v>
      </c>
    </row>
    <row r="4" spans="1:11" ht="16" thickBot="1" x14ac:dyDescent="0.25"/>
    <row r="5" spans="1:11" ht="16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1" ht="32" x14ac:dyDescent="0.2">
      <c r="A6" s="28" t="s">
        <v>52</v>
      </c>
      <c r="B6" s="8">
        <v>0</v>
      </c>
      <c r="C6" s="8">
        <v>0</v>
      </c>
      <c r="D6" s="8">
        <v>0</v>
      </c>
      <c r="E6" s="8">
        <v>0</v>
      </c>
      <c r="F6" s="8">
        <v>300</v>
      </c>
      <c r="G6" s="8">
        <v>0</v>
      </c>
      <c r="H6" s="8">
        <v>500</v>
      </c>
      <c r="I6" s="8">
        <v>200</v>
      </c>
      <c r="J6" s="8">
        <v>0</v>
      </c>
      <c r="K6" s="10">
        <v>0</v>
      </c>
    </row>
    <row r="7" spans="1:11" ht="32" x14ac:dyDescent="0.2">
      <c r="A7" s="29" t="s">
        <v>53</v>
      </c>
      <c r="B7" s="15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10">
        <v>0</v>
      </c>
    </row>
    <row r="8" spans="1:11" ht="18" x14ac:dyDescent="0.2">
      <c r="A8" s="29" t="s">
        <v>54</v>
      </c>
      <c r="B8" s="15">
        <v>0</v>
      </c>
      <c r="C8" s="15">
        <v>0</v>
      </c>
      <c r="D8" s="15">
        <v>0</v>
      </c>
      <c r="E8" s="15">
        <v>0</v>
      </c>
      <c r="F8" s="15">
        <v>300</v>
      </c>
      <c r="G8" s="15">
        <v>0</v>
      </c>
      <c r="H8" s="15">
        <v>500</v>
      </c>
      <c r="I8" s="15">
        <v>200</v>
      </c>
      <c r="J8" s="15">
        <v>0</v>
      </c>
      <c r="K8" s="51">
        <v>0</v>
      </c>
    </row>
    <row r="9" spans="1:11" ht="18" x14ac:dyDescent="0.2">
      <c r="A9" s="29" t="s">
        <v>55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30</v>
      </c>
      <c r="H9" s="8">
        <v>10</v>
      </c>
      <c r="I9" s="8">
        <v>0</v>
      </c>
      <c r="J9" s="8">
        <v>0</v>
      </c>
      <c r="K9" s="10">
        <v>0</v>
      </c>
    </row>
    <row r="10" spans="1:11" ht="18" x14ac:dyDescent="0.2">
      <c r="A10" s="29" t="s">
        <v>56</v>
      </c>
      <c r="B10" s="15">
        <v>200</v>
      </c>
      <c r="C10" s="8">
        <v>200</v>
      </c>
      <c r="D10" s="8">
        <v>200</v>
      </c>
      <c r="E10" s="8">
        <v>200</v>
      </c>
      <c r="F10" s="8">
        <v>200</v>
      </c>
      <c r="G10" s="8">
        <v>230</v>
      </c>
      <c r="H10" s="8">
        <v>200</v>
      </c>
      <c r="I10" s="8">
        <v>200</v>
      </c>
      <c r="J10" s="8">
        <v>200</v>
      </c>
      <c r="K10" s="10">
        <v>200</v>
      </c>
    </row>
    <row r="11" spans="1:11" ht="18" x14ac:dyDescent="0.2">
      <c r="A11" s="29" t="s">
        <v>57</v>
      </c>
      <c r="B11" s="15">
        <v>160</v>
      </c>
      <c r="C11" s="8">
        <v>0</v>
      </c>
      <c r="D11" s="8">
        <v>0</v>
      </c>
      <c r="E11" s="8">
        <v>0</v>
      </c>
      <c r="F11" s="8">
        <v>300</v>
      </c>
      <c r="G11" s="8">
        <v>0</v>
      </c>
      <c r="H11" s="8">
        <v>460</v>
      </c>
      <c r="I11" s="8">
        <v>200</v>
      </c>
      <c r="J11" s="8">
        <v>0</v>
      </c>
      <c r="K11" s="10">
        <v>0</v>
      </c>
    </row>
    <row r="12" spans="1:11" ht="18" x14ac:dyDescent="0.2">
      <c r="A12" s="29" t="s">
        <v>58</v>
      </c>
      <c r="B12" s="15">
        <v>160</v>
      </c>
      <c r="C12" s="8">
        <v>0</v>
      </c>
      <c r="D12" s="8">
        <v>300</v>
      </c>
      <c r="E12" s="8">
        <v>0</v>
      </c>
      <c r="F12" s="8">
        <v>460</v>
      </c>
      <c r="G12" s="8">
        <v>200</v>
      </c>
      <c r="H12" s="8">
        <v>0</v>
      </c>
      <c r="I12" s="8">
        <v>0</v>
      </c>
      <c r="J12" s="8">
        <v>0</v>
      </c>
      <c r="K12" s="10">
        <v>0</v>
      </c>
    </row>
    <row r="13" spans="1:11" ht="19" thickBot="1" x14ac:dyDescent="0.25">
      <c r="A13" s="30" t="s">
        <v>59</v>
      </c>
      <c r="B13" s="16">
        <v>160</v>
      </c>
      <c r="C13" s="9">
        <v>0</v>
      </c>
      <c r="D13" s="9">
        <v>300</v>
      </c>
      <c r="E13" s="9">
        <v>0</v>
      </c>
      <c r="F13" s="9">
        <v>660</v>
      </c>
      <c r="G13" s="9">
        <v>0</v>
      </c>
      <c r="H13" s="9">
        <v>0</v>
      </c>
      <c r="I13" s="9">
        <v>0</v>
      </c>
      <c r="J13" s="9">
        <v>0</v>
      </c>
      <c r="K13" s="11">
        <v>0</v>
      </c>
    </row>
  </sheetData>
  <conditionalFormatting sqref="B7:K8 B10:K13">
    <cfRule type="expression" dxfId="63" priority="7">
      <formula>INDEX(Name,$A7)=""</formula>
    </cfRule>
  </conditionalFormatting>
  <conditionalFormatting sqref="D2:J2">
    <cfRule type="expression" dxfId="62" priority="5">
      <formula>CELL("protect",D2)=0</formula>
    </cfRule>
  </conditionalFormatting>
  <conditionalFormatting sqref="D3:I3">
    <cfRule type="expression" dxfId="61" priority="4">
      <formula>INDEX(Name,$A3)=""</formula>
    </cfRule>
  </conditionalFormatting>
  <conditionalFormatting sqref="B9:K9">
    <cfRule type="expression" dxfId="60" priority="3">
      <formula>INDEX(Name,$A9)=""</formula>
    </cfRule>
  </conditionalFormatting>
  <conditionalFormatting sqref="B6:K6">
    <cfRule type="expression" dxfId="59" priority="1">
      <formula>INDEX(Name,$A6)=""</formula>
    </cfRule>
  </conditionalFormatting>
  <dataValidations count="3">
    <dataValidation type="whole" operator="greaterThanOrEqual" allowBlank="1" showInputMessage="1" showErrorMessage="1" errorTitle="Values" error="Input must be integer greater than or equal zero" sqref="E3:G3 B9:K9 B6:K6" xr:uid="{FB0FF69C-9120-4601-B268-C52E4557604E}">
      <formula1>0</formula1>
    </dataValidation>
    <dataValidation type="decimal" operator="greaterThanOrEqual" allowBlank="1" showInputMessage="1" showErrorMessage="1" errorTitle="Values" error="Input must be greater than or equal zero" sqref="H3:I3" xr:uid="{380C83A7-7DB9-4390-B8F8-973CBEF3A32D}">
      <formula1>0</formula1>
    </dataValidation>
    <dataValidation type="list" allowBlank="1" showInputMessage="1" showErrorMessage="1" errorTitle="Try again" error="Choose from the list" sqref="D3" xr:uid="{54F77A8E-7FA4-415E-B747-33F0D0F8E4FA}">
      <formula1>"LFL, FP, SM, WW"</formula1>
    </dataValidation>
  </dataValidations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0906B-8A2B-48CB-A55E-C89F1AC5E514}">
  <sheetPr codeName="Worksheet______7">
    <tabColor theme="5" tint="-0.249977111117893"/>
  </sheetPr>
  <dimension ref="A1:K13"/>
  <sheetViews>
    <sheetView showGridLines="0" zoomScale="157" workbookViewId="0">
      <selection activeCell="H14" sqref="H14"/>
    </sheetView>
  </sheetViews>
  <sheetFormatPr baseColWidth="10" defaultColWidth="8.83203125" defaultRowHeight="15" x14ac:dyDescent="0.2"/>
  <sheetData>
    <row r="1" spans="1:11" ht="16" thickBot="1" x14ac:dyDescent="0.25">
      <c r="A1" s="1" t="s">
        <v>63</v>
      </c>
    </row>
    <row r="2" spans="1:11" ht="16" thickBot="1" x14ac:dyDescent="0.25">
      <c r="D2" s="22" t="s">
        <v>2</v>
      </c>
      <c r="E2" s="3" t="s">
        <v>3</v>
      </c>
      <c r="F2" s="3" t="s">
        <v>4</v>
      </c>
      <c r="G2" s="3" t="s">
        <v>5</v>
      </c>
      <c r="H2" s="3" t="s">
        <v>24</v>
      </c>
      <c r="I2" s="3" t="s">
        <v>90</v>
      </c>
      <c r="J2" s="4" t="s">
        <v>6</v>
      </c>
    </row>
    <row r="3" spans="1:11" ht="16" thickBot="1" x14ac:dyDescent="0.25">
      <c r="A3" s="23" t="s">
        <v>11</v>
      </c>
      <c r="B3" s="24" t="s">
        <v>50</v>
      </c>
      <c r="D3" s="60" t="s">
        <v>98</v>
      </c>
      <c r="E3" s="58">
        <v>0</v>
      </c>
      <c r="F3" s="58">
        <v>10</v>
      </c>
      <c r="G3" s="58">
        <v>30</v>
      </c>
      <c r="H3" s="58">
        <v>600</v>
      </c>
      <c r="I3" s="58">
        <v>2</v>
      </c>
      <c r="J3" s="59">
        <v>2</v>
      </c>
    </row>
    <row r="4" spans="1:11" ht="16" thickBot="1" x14ac:dyDescent="0.25"/>
    <row r="5" spans="1:11" ht="16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1" ht="32" x14ac:dyDescent="0.2">
      <c r="A6" s="28" t="s">
        <v>52</v>
      </c>
      <c r="B6" s="8">
        <v>0</v>
      </c>
      <c r="C6" s="8">
        <v>0</v>
      </c>
      <c r="D6" s="8">
        <v>500</v>
      </c>
      <c r="E6" s="8">
        <v>0</v>
      </c>
      <c r="F6" s="8">
        <v>0</v>
      </c>
      <c r="G6" s="8">
        <v>0</v>
      </c>
      <c r="H6" s="18">
        <v>0</v>
      </c>
      <c r="I6" s="18">
        <v>0</v>
      </c>
      <c r="J6" s="18">
        <v>0</v>
      </c>
      <c r="K6" s="19">
        <v>0</v>
      </c>
    </row>
    <row r="7" spans="1:11" ht="32" x14ac:dyDescent="0.2">
      <c r="A7" s="29" t="s">
        <v>53</v>
      </c>
      <c r="B7" s="15">
        <v>480</v>
      </c>
      <c r="C7" s="15">
        <v>0</v>
      </c>
      <c r="D7" s="15">
        <v>900</v>
      </c>
      <c r="E7" s="15">
        <v>1010</v>
      </c>
      <c r="F7" s="15">
        <v>2080</v>
      </c>
      <c r="G7" s="15">
        <v>1100</v>
      </c>
      <c r="H7" s="15">
        <v>0</v>
      </c>
      <c r="I7" s="15">
        <v>0</v>
      </c>
      <c r="J7" s="15">
        <v>0</v>
      </c>
      <c r="K7" s="51">
        <v>0</v>
      </c>
    </row>
    <row r="8" spans="1:11" ht="18" x14ac:dyDescent="0.2">
      <c r="A8" s="29" t="s">
        <v>54</v>
      </c>
      <c r="B8" s="15">
        <v>480</v>
      </c>
      <c r="C8" s="15">
        <v>0</v>
      </c>
      <c r="D8" s="15">
        <v>1400</v>
      </c>
      <c r="E8" s="15">
        <v>1010</v>
      </c>
      <c r="F8" s="15">
        <v>2080</v>
      </c>
      <c r="G8" s="15">
        <v>1100</v>
      </c>
      <c r="H8" s="15">
        <v>0</v>
      </c>
      <c r="I8" s="15">
        <v>0</v>
      </c>
      <c r="J8" s="15">
        <v>0</v>
      </c>
      <c r="K8" s="51">
        <v>0</v>
      </c>
    </row>
    <row r="9" spans="1:11" ht="18" x14ac:dyDescent="0.2">
      <c r="A9" s="29" t="s">
        <v>55</v>
      </c>
      <c r="B9" s="8">
        <v>100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18">
        <v>0</v>
      </c>
      <c r="I9" s="18">
        <v>0</v>
      </c>
      <c r="J9" s="18">
        <v>0</v>
      </c>
      <c r="K9" s="19">
        <v>0</v>
      </c>
    </row>
    <row r="10" spans="1:11" ht="18" x14ac:dyDescent="0.2">
      <c r="A10" s="29" t="s">
        <v>56</v>
      </c>
      <c r="B10" s="15">
        <v>10</v>
      </c>
      <c r="C10" s="8">
        <v>10</v>
      </c>
      <c r="D10" s="8">
        <v>10</v>
      </c>
      <c r="E10" s="8">
        <v>10</v>
      </c>
      <c r="F10" s="8">
        <v>10</v>
      </c>
      <c r="G10" s="8">
        <v>10</v>
      </c>
      <c r="H10" s="8">
        <v>10</v>
      </c>
      <c r="I10" s="8">
        <v>10</v>
      </c>
      <c r="J10" s="8">
        <v>10</v>
      </c>
      <c r="K10" s="10">
        <v>10</v>
      </c>
    </row>
    <row r="11" spans="1:11" ht="18" x14ac:dyDescent="0.2">
      <c r="A11" s="29" t="s">
        <v>57</v>
      </c>
      <c r="B11" s="15">
        <v>360</v>
      </c>
      <c r="C11" s="8">
        <v>0</v>
      </c>
      <c r="D11" s="8">
        <v>1400</v>
      </c>
      <c r="E11" s="8">
        <v>1010</v>
      </c>
      <c r="F11" s="8">
        <v>2080</v>
      </c>
      <c r="G11" s="8">
        <v>1100</v>
      </c>
      <c r="H11" s="8">
        <v>0</v>
      </c>
      <c r="I11" s="8">
        <v>0</v>
      </c>
      <c r="J11" s="8">
        <v>0</v>
      </c>
      <c r="K11" s="8">
        <v>0</v>
      </c>
    </row>
    <row r="12" spans="1:11" ht="18" x14ac:dyDescent="0.2">
      <c r="A12" s="29" t="s">
        <v>58</v>
      </c>
      <c r="B12" s="15">
        <v>360</v>
      </c>
      <c r="C12" s="8">
        <v>0</v>
      </c>
      <c r="D12" s="8">
        <v>1400</v>
      </c>
      <c r="E12" s="8">
        <v>1010</v>
      </c>
      <c r="F12" s="8">
        <v>2080</v>
      </c>
      <c r="G12" s="8">
        <v>1100</v>
      </c>
      <c r="H12" s="8">
        <v>0</v>
      </c>
      <c r="I12" s="8">
        <v>0</v>
      </c>
      <c r="J12" s="8">
        <v>0</v>
      </c>
      <c r="K12" s="10">
        <v>0</v>
      </c>
    </row>
    <row r="13" spans="1:11" ht="18" x14ac:dyDescent="0.2">
      <c r="A13" s="29" t="s">
        <v>59</v>
      </c>
      <c r="B13" s="15">
        <v>360</v>
      </c>
      <c r="C13" s="8">
        <v>0</v>
      </c>
      <c r="D13" s="8">
        <v>2410</v>
      </c>
      <c r="E13" s="8">
        <v>0</v>
      </c>
      <c r="F13" s="8">
        <v>3180</v>
      </c>
      <c r="G13" s="8">
        <v>0</v>
      </c>
      <c r="H13" s="8">
        <v>0</v>
      </c>
      <c r="I13" s="8">
        <v>0</v>
      </c>
      <c r="J13" s="8">
        <v>0</v>
      </c>
      <c r="K13" s="10">
        <v>0</v>
      </c>
    </row>
  </sheetData>
  <conditionalFormatting sqref="B7:K8 B10:K13">
    <cfRule type="expression" dxfId="58" priority="6">
      <formula>INDEX(Name,$A7)=""</formula>
    </cfRule>
  </conditionalFormatting>
  <conditionalFormatting sqref="D2:J2">
    <cfRule type="expression" dxfId="57" priority="4">
      <formula>CELL("protect",D2)=0</formula>
    </cfRule>
  </conditionalFormatting>
  <conditionalFormatting sqref="D3:I3">
    <cfRule type="expression" dxfId="56" priority="3">
      <formula>INDEX(Name,$A3)=""</formula>
    </cfRule>
  </conditionalFormatting>
  <conditionalFormatting sqref="B9:K9">
    <cfRule type="expression" dxfId="55" priority="2">
      <formula>INDEX(Name,$A9)=""</formula>
    </cfRule>
  </conditionalFormatting>
  <conditionalFormatting sqref="B6:K6">
    <cfRule type="expression" dxfId="54" priority="1">
      <formula>INDEX(Name,$A6)=""</formula>
    </cfRule>
  </conditionalFormatting>
  <dataValidations count="3">
    <dataValidation type="whole" operator="greaterThanOrEqual" allowBlank="1" showInputMessage="1" showErrorMessage="1" errorTitle="Values" error="Input must be integer greater than or equal zero" sqref="E3:G3 B9:K9 B6:K6" xr:uid="{F2742749-A6D2-433B-9423-F911EC86C315}">
      <formula1>0</formula1>
    </dataValidation>
    <dataValidation type="decimal" operator="greaterThanOrEqual" allowBlank="1" showInputMessage="1" showErrorMessage="1" errorTitle="Values" error="Input must be greater than or equal zero" sqref="H3:I3" xr:uid="{8F8BAE00-E1EF-4EE1-9D98-51B715F1BA4F}">
      <formula1>0</formula1>
    </dataValidation>
    <dataValidation type="list" allowBlank="1" showInputMessage="1" showErrorMessage="1" errorTitle="Try again" error="Choose from the list" sqref="D3" xr:uid="{3D8D772C-1C36-4FD1-AF38-07FBFA4A06FE}">
      <formula1>"LFL, FP, SM, WW"</formula1>
    </dataValidation>
  </dataValidations>
  <pageMargins left="0.7" right="0.7" top="0.75" bottom="0.75" header="0.3" footer="0.3"/>
  <drawing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F7958-E142-4E7F-9A60-98E9B9B98700}">
  <sheetPr codeName="Worksheet______9">
    <tabColor theme="5" tint="0.39997558519241921"/>
  </sheetPr>
  <dimension ref="A1:O15"/>
  <sheetViews>
    <sheetView showGridLines="0" zoomScaleNormal="100" workbookViewId="0">
      <selection activeCell="L34" sqref="L34"/>
    </sheetView>
  </sheetViews>
  <sheetFormatPr baseColWidth="10" defaultColWidth="8.83203125" defaultRowHeight="15" x14ac:dyDescent="0.2"/>
  <sheetData>
    <row r="1" spans="1:15" ht="16" thickBot="1" x14ac:dyDescent="0.25">
      <c r="A1" s="1" t="s">
        <v>68</v>
      </c>
    </row>
    <row r="2" spans="1:15" ht="16" thickBot="1" x14ac:dyDescent="0.25">
      <c r="D2" s="22" t="s">
        <v>3</v>
      </c>
      <c r="E2" s="3" t="s">
        <v>4</v>
      </c>
      <c r="F2" s="3" t="s">
        <v>5</v>
      </c>
      <c r="G2" s="3" t="s">
        <v>6</v>
      </c>
      <c r="H2" s="3" t="s">
        <v>19</v>
      </c>
      <c r="I2" s="3" t="s">
        <v>20</v>
      </c>
      <c r="J2" s="3" t="s">
        <v>14</v>
      </c>
      <c r="K2" s="3" t="s">
        <v>15</v>
      </c>
      <c r="L2" s="3" t="s">
        <v>21</v>
      </c>
      <c r="M2" s="3" t="s">
        <v>22</v>
      </c>
      <c r="N2" s="4" t="s">
        <v>23</v>
      </c>
    </row>
    <row r="3" spans="1:15" ht="16" thickBot="1" x14ac:dyDescent="0.25">
      <c r="A3" s="23" t="s">
        <v>13</v>
      </c>
      <c r="B3" s="24" t="s">
        <v>65</v>
      </c>
      <c r="D3" s="57">
        <v>0</v>
      </c>
      <c r="E3" s="58">
        <v>0</v>
      </c>
      <c r="F3" s="58">
        <v>0</v>
      </c>
      <c r="G3" s="58">
        <v>2</v>
      </c>
      <c r="H3" s="58">
        <v>90</v>
      </c>
      <c r="I3" s="58">
        <v>270</v>
      </c>
      <c r="J3" s="58">
        <v>8</v>
      </c>
      <c r="K3" s="58">
        <v>2</v>
      </c>
      <c r="L3" s="58">
        <v>100</v>
      </c>
      <c r="M3" s="63">
        <v>110</v>
      </c>
      <c r="N3" s="64">
        <v>400</v>
      </c>
    </row>
    <row r="4" spans="1:15" ht="16" thickBot="1" x14ac:dyDescent="0.25"/>
    <row r="5" spans="1:15" ht="16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5" ht="32" x14ac:dyDescent="0.2">
      <c r="A6" s="28" t="s">
        <v>52</v>
      </c>
      <c r="B6" s="8">
        <v>0</v>
      </c>
      <c r="C6" s="8">
        <v>0</v>
      </c>
      <c r="D6" s="8">
        <v>0</v>
      </c>
      <c r="E6" s="8">
        <v>300</v>
      </c>
      <c r="F6" s="8">
        <v>0</v>
      </c>
      <c r="G6" s="8">
        <v>0</v>
      </c>
      <c r="H6" s="18">
        <v>0</v>
      </c>
      <c r="I6" s="18">
        <v>0</v>
      </c>
      <c r="J6" s="18"/>
      <c r="K6" s="19"/>
    </row>
    <row r="7" spans="1:15" ht="32" x14ac:dyDescent="0.2">
      <c r="A7" s="29" t="s">
        <v>53</v>
      </c>
      <c r="B7" s="15">
        <v>720</v>
      </c>
      <c r="C7" s="15">
        <v>0</v>
      </c>
      <c r="D7" s="15">
        <v>4820</v>
      </c>
      <c r="E7" s="15">
        <v>0</v>
      </c>
      <c r="F7" s="15">
        <v>6360</v>
      </c>
      <c r="G7" s="15">
        <v>0</v>
      </c>
      <c r="H7" s="15">
        <v>0</v>
      </c>
      <c r="I7" s="15">
        <v>0</v>
      </c>
      <c r="J7" s="15">
        <v>0</v>
      </c>
      <c r="K7" s="51">
        <v>0</v>
      </c>
    </row>
    <row r="8" spans="1:15" ht="18" x14ac:dyDescent="0.2">
      <c r="A8" s="29" t="s">
        <v>54</v>
      </c>
      <c r="B8" s="15">
        <v>720</v>
      </c>
      <c r="C8" s="15">
        <v>0</v>
      </c>
      <c r="D8" s="15">
        <v>4820</v>
      </c>
      <c r="E8" s="15">
        <v>300</v>
      </c>
      <c r="F8" s="15">
        <v>6360</v>
      </c>
      <c r="G8" s="15">
        <v>0</v>
      </c>
      <c r="H8" s="15">
        <v>0</v>
      </c>
      <c r="I8" s="15">
        <v>0</v>
      </c>
      <c r="J8" s="15">
        <v>0</v>
      </c>
      <c r="K8" s="51">
        <v>0</v>
      </c>
    </row>
    <row r="9" spans="1:15" ht="18" x14ac:dyDescent="0.2">
      <c r="A9" s="29" t="s">
        <v>55</v>
      </c>
      <c r="B9" s="8">
        <v>0</v>
      </c>
      <c r="C9" s="8">
        <v>0</v>
      </c>
      <c r="D9" s="8">
        <v>0</v>
      </c>
      <c r="E9" s="8">
        <v>0</v>
      </c>
      <c r="F9" s="8">
        <v>20</v>
      </c>
      <c r="G9" s="8">
        <v>0</v>
      </c>
      <c r="H9" s="18">
        <v>0</v>
      </c>
      <c r="I9" s="18">
        <v>0</v>
      </c>
      <c r="J9" s="18"/>
      <c r="K9" s="19"/>
    </row>
    <row r="10" spans="1:15" ht="18" x14ac:dyDescent="0.2">
      <c r="A10" s="29" t="s">
        <v>56</v>
      </c>
      <c r="B10" s="15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10">
        <v>0</v>
      </c>
    </row>
    <row r="11" spans="1:15" ht="18" x14ac:dyDescent="0.2">
      <c r="A11" s="29" t="s">
        <v>57</v>
      </c>
      <c r="B11" s="15">
        <v>720</v>
      </c>
      <c r="C11" s="8">
        <v>0</v>
      </c>
      <c r="D11" s="8">
        <v>4820</v>
      </c>
      <c r="E11" s="8">
        <v>300</v>
      </c>
      <c r="F11" s="8">
        <v>6340</v>
      </c>
      <c r="G11" s="8">
        <v>0</v>
      </c>
      <c r="H11" s="8">
        <v>0</v>
      </c>
      <c r="I11" s="8">
        <v>0</v>
      </c>
      <c r="J11" s="8">
        <v>0</v>
      </c>
      <c r="K11" s="10">
        <v>0</v>
      </c>
    </row>
    <row r="12" spans="1:15" ht="18" x14ac:dyDescent="0.2">
      <c r="A12" s="29" t="s">
        <v>58</v>
      </c>
      <c r="B12" s="15">
        <v>720</v>
      </c>
      <c r="C12" s="8">
        <v>0</v>
      </c>
      <c r="D12" s="8">
        <v>4820</v>
      </c>
      <c r="E12" s="8">
        <v>300</v>
      </c>
      <c r="F12" s="8">
        <v>6340</v>
      </c>
      <c r="G12" s="8">
        <v>0</v>
      </c>
      <c r="H12" s="8">
        <v>0</v>
      </c>
      <c r="I12" s="8">
        <v>0</v>
      </c>
      <c r="J12" s="8">
        <v>0</v>
      </c>
      <c r="K12" s="10">
        <v>0</v>
      </c>
    </row>
    <row r="13" spans="1:15" ht="18" x14ac:dyDescent="0.2">
      <c r="A13" s="29" t="s">
        <v>91</v>
      </c>
      <c r="B13" s="25">
        <v>0</v>
      </c>
      <c r="C13" s="25">
        <v>0</v>
      </c>
      <c r="D13" s="25">
        <v>0</v>
      </c>
      <c r="E13" s="25">
        <v>0</v>
      </c>
      <c r="F13" s="25">
        <v>1</v>
      </c>
      <c r="G13" s="25">
        <v>0</v>
      </c>
      <c r="H13" s="25">
        <v>0</v>
      </c>
      <c r="I13" s="25">
        <v>0</v>
      </c>
      <c r="J13" s="25">
        <v>0</v>
      </c>
      <c r="K13" s="26">
        <v>0</v>
      </c>
    </row>
    <row r="14" spans="1:15" ht="18" x14ac:dyDescent="0.2">
      <c r="A14" s="29" t="s">
        <v>92</v>
      </c>
      <c r="B14" s="25">
        <v>3</v>
      </c>
      <c r="C14" s="25">
        <v>0</v>
      </c>
      <c r="D14" s="25">
        <v>18</v>
      </c>
      <c r="E14" s="25">
        <v>1</v>
      </c>
      <c r="F14" s="25">
        <v>23</v>
      </c>
      <c r="G14" s="25">
        <v>0</v>
      </c>
      <c r="H14" s="25">
        <v>0</v>
      </c>
      <c r="I14" s="25">
        <v>0</v>
      </c>
      <c r="J14" s="25">
        <v>0</v>
      </c>
      <c r="K14" s="26">
        <v>0</v>
      </c>
    </row>
    <row r="15" spans="1:15" ht="19" thickBot="1" x14ac:dyDescent="0.25">
      <c r="A15" s="30" t="s">
        <v>59</v>
      </c>
      <c r="B15" s="9">
        <v>810</v>
      </c>
      <c r="C15" s="9">
        <v>0</v>
      </c>
      <c r="D15" s="9">
        <v>4860</v>
      </c>
      <c r="E15" s="9">
        <v>270</v>
      </c>
      <c r="F15" s="9">
        <v>6300</v>
      </c>
      <c r="G15" s="9">
        <v>0</v>
      </c>
      <c r="H15" s="9">
        <v>0</v>
      </c>
      <c r="I15" s="9">
        <v>0</v>
      </c>
      <c r="J15" s="9">
        <v>0</v>
      </c>
      <c r="K15" s="11">
        <v>0</v>
      </c>
      <c r="O15" t="s">
        <v>67</v>
      </c>
    </row>
  </sheetData>
  <conditionalFormatting sqref="B7:K8 B10:K12">
    <cfRule type="expression" dxfId="53" priority="14">
      <formula>INDEX(Name,$A7)=""</formula>
    </cfRule>
  </conditionalFormatting>
  <conditionalFormatting sqref="D2:G2">
    <cfRule type="expression" dxfId="52" priority="12">
      <formula>CELL("protect",D2)=0</formula>
    </cfRule>
  </conditionalFormatting>
  <conditionalFormatting sqref="I2 K2:N2">
    <cfRule type="expression" dxfId="51" priority="11">
      <formula>CELL("protect",I2)=0</formula>
    </cfRule>
  </conditionalFormatting>
  <conditionalFormatting sqref="J2">
    <cfRule type="expression" dxfId="50" priority="10">
      <formula>CELL("protect",J2)=0</formula>
    </cfRule>
  </conditionalFormatting>
  <conditionalFormatting sqref="H2">
    <cfRule type="expression" dxfId="49" priority="9">
      <formula>CELL("protect",H2)=0</formula>
    </cfRule>
  </conditionalFormatting>
  <conditionalFormatting sqref="E3:L3">
    <cfRule type="expression" dxfId="48" priority="6">
      <formula>INDEX(Name,$A3)=""</formula>
    </cfRule>
  </conditionalFormatting>
  <conditionalFormatting sqref="F3:G3">
    <cfRule type="expression" dxfId="47" priority="7">
      <formula>AND(OR($D3="FP",$D3="FQ"),$E3="")</formula>
    </cfRule>
  </conditionalFormatting>
  <conditionalFormatting sqref="B9:K9">
    <cfRule type="expression" dxfId="46" priority="5">
      <formula>INDEX(Name,$A9)=""</formula>
    </cfRule>
  </conditionalFormatting>
  <conditionalFormatting sqref="B6:K6">
    <cfRule type="expression" dxfId="45" priority="4">
      <formula>INDEX(Name,$A6)=""</formula>
    </cfRule>
  </conditionalFormatting>
  <conditionalFormatting sqref="B15:K15">
    <cfRule type="expression" dxfId="44" priority="1">
      <formula>INDEX(Name,$A15)=""</formula>
    </cfRule>
  </conditionalFormatting>
  <dataValidations count="3">
    <dataValidation type="whole" operator="greaterThanOrEqual" allowBlank="1" showInputMessage="1" showErrorMessage="1" error="Input must be integer greater than or equal zero" sqref="D3:I3" xr:uid="{202D914B-5016-4793-894A-D01070E106AA}">
      <formula1>0</formula1>
    </dataValidation>
    <dataValidation type="whole" operator="greaterThanOrEqual" allowBlank="1" showInputMessage="1" showErrorMessage="1" errorTitle="Values" error="Input must be integer greater than or equal zero" sqref="B6:K6 B9:K9 K3" xr:uid="{C3BCBB5C-4B51-4A44-8FC3-2D37412086D2}">
      <formula1>0</formula1>
    </dataValidation>
    <dataValidation type="decimal" operator="greaterThanOrEqual" allowBlank="1" showInputMessage="1" showErrorMessage="1" errorTitle="Values" error="Input must be greater than or equal zero" sqref="L3" xr:uid="{AB282CE9-0289-4CB4-BAE7-1AD4DB9C0B89}">
      <formula1>0</formula1>
    </dataValidation>
  </dataValidations>
  <pageMargins left="0.7" right="0.7" top="0.75" bottom="0.75" header="0.3" footer="0.3"/>
  <drawing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FD492-627B-4A88-951C-86E3322CD186}">
  <sheetPr codeName="Worksheet______10">
    <tabColor theme="5" tint="0.39997558519241921"/>
  </sheetPr>
  <dimension ref="A1:O15"/>
  <sheetViews>
    <sheetView showGridLines="0" workbookViewId="0">
      <selection activeCell="N18" sqref="N18"/>
    </sheetView>
  </sheetViews>
  <sheetFormatPr baseColWidth="10" defaultColWidth="8.83203125" defaultRowHeight="15" x14ac:dyDescent="0.2"/>
  <sheetData>
    <row r="1" spans="1:15" ht="16" thickBot="1" x14ac:dyDescent="0.25">
      <c r="A1" s="1" t="s">
        <v>64</v>
      </c>
    </row>
    <row r="2" spans="1:15" ht="16" thickBot="1" x14ac:dyDescent="0.25">
      <c r="D2" s="22" t="s">
        <v>3</v>
      </c>
      <c r="E2" s="3" t="s">
        <v>4</v>
      </c>
      <c r="F2" s="3" t="s">
        <v>5</v>
      </c>
      <c r="G2" s="3" t="s">
        <v>6</v>
      </c>
      <c r="H2" s="3" t="s">
        <v>19</v>
      </c>
      <c r="I2" s="3" t="s">
        <v>20</v>
      </c>
      <c r="J2" s="3" t="s">
        <v>14</v>
      </c>
      <c r="K2" s="3" t="s">
        <v>15</v>
      </c>
      <c r="L2" s="3" t="s">
        <v>21</v>
      </c>
      <c r="M2" s="3" t="s">
        <v>22</v>
      </c>
      <c r="N2" s="4" t="s">
        <v>23</v>
      </c>
    </row>
    <row r="3" spans="1:15" ht="16" thickBot="1" x14ac:dyDescent="0.25">
      <c r="A3" s="23" t="s">
        <v>16</v>
      </c>
      <c r="B3" s="24" t="s">
        <v>65</v>
      </c>
      <c r="D3" s="57">
        <v>0</v>
      </c>
      <c r="E3" s="58">
        <v>0</v>
      </c>
      <c r="F3" s="58">
        <v>0</v>
      </c>
      <c r="G3" s="58">
        <v>1</v>
      </c>
      <c r="H3" s="58">
        <v>10</v>
      </c>
      <c r="I3" s="58">
        <v>15</v>
      </c>
      <c r="J3" s="58">
        <v>14</v>
      </c>
      <c r="K3" s="58">
        <v>10</v>
      </c>
      <c r="L3" s="58">
        <v>400</v>
      </c>
      <c r="M3" s="63">
        <v>400</v>
      </c>
      <c r="N3" s="64">
        <v>1300</v>
      </c>
    </row>
    <row r="4" spans="1:15" ht="16" thickBot="1" x14ac:dyDescent="0.25"/>
    <row r="5" spans="1:15" ht="16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5" ht="32" x14ac:dyDescent="0.2">
      <c r="A6" s="28" t="s">
        <v>52</v>
      </c>
      <c r="B6" s="8">
        <v>0</v>
      </c>
      <c r="C6" s="8">
        <v>0</v>
      </c>
      <c r="D6" s="8">
        <v>700</v>
      </c>
      <c r="E6" s="8">
        <v>0</v>
      </c>
      <c r="F6" s="8">
        <v>0</v>
      </c>
      <c r="G6" s="8">
        <v>0</v>
      </c>
      <c r="H6" s="18">
        <v>0</v>
      </c>
      <c r="I6" s="18">
        <v>0</v>
      </c>
      <c r="J6" s="18"/>
      <c r="K6" s="19"/>
    </row>
    <row r="7" spans="1:15" ht="32" x14ac:dyDescent="0.2">
      <c r="A7" s="29" t="s">
        <v>53</v>
      </c>
      <c r="B7" s="15">
        <v>1280</v>
      </c>
      <c r="C7" s="15">
        <v>0</v>
      </c>
      <c r="D7" s="15">
        <v>4880</v>
      </c>
      <c r="E7" s="15">
        <v>0</v>
      </c>
      <c r="F7" s="15">
        <v>13880</v>
      </c>
      <c r="G7" s="15">
        <v>0</v>
      </c>
      <c r="H7" s="15">
        <v>8800</v>
      </c>
      <c r="I7" s="15">
        <v>0</v>
      </c>
      <c r="J7" s="15">
        <v>0</v>
      </c>
      <c r="K7" s="51">
        <v>0</v>
      </c>
    </row>
    <row r="8" spans="1:15" ht="18" x14ac:dyDescent="0.2">
      <c r="A8" s="29" t="s">
        <v>54</v>
      </c>
      <c r="B8" s="15">
        <v>1280</v>
      </c>
      <c r="C8" s="15">
        <v>0</v>
      </c>
      <c r="D8" s="15">
        <v>5580</v>
      </c>
      <c r="E8" s="15">
        <v>0</v>
      </c>
      <c r="F8" s="15">
        <v>13880</v>
      </c>
      <c r="G8" s="15">
        <v>0</v>
      </c>
      <c r="H8" s="15">
        <v>8800</v>
      </c>
      <c r="I8" s="15">
        <v>0</v>
      </c>
      <c r="J8" s="15">
        <v>0</v>
      </c>
      <c r="K8" s="51">
        <v>0</v>
      </c>
    </row>
    <row r="9" spans="1:15" ht="18" x14ac:dyDescent="0.2">
      <c r="A9" s="29" t="s">
        <v>55</v>
      </c>
      <c r="B9" s="15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/>
      <c r="K9" s="10"/>
    </row>
    <row r="10" spans="1:15" ht="18" x14ac:dyDescent="0.2">
      <c r="A10" s="29" t="s">
        <v>56</v>
      </c>
      <c r="B10" s="15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10">
        <v>0</v>
      </c>
    </row>
    <row r="11" spans="1:15" ht="18" x14ac:dyDescent="0.2">
      <c r="A11" s="29" t="s">
        <v>57</v>
      </c>
      <c r="B11" s="15">
        <v>1280</v>
      </c>
      <c r="C11" s="8">
        <v>0</v>
      </c>
      <c r="D11" s="8">
        <v>5580</v>
      </c>
      <c r="E11" s="8">
        <v>0</v>
      </c>
      <c r="F11" s="8">
        <v>13880</v>
      </c>
      <c r="G11" s="8">
        <v>0</v>
      </c>
      <c r="H11" s="8">
        <v>8800</v>
      </c>
      <c r="I11" s="8">
        <v>0</v>
      </c>
      <c r="J11" s="8">
        <v>0</v>
      </c>
      <c r="K11" s="10">
        <v>0</v>
      </c>
    </row>
    <row r="12" spans="1:15" ht="18" x14ac:dyDescent="0.2">
      <c r="A12" s="29" t="s">
        <v>58</v>
      </c>
      <c r="B12" s="15">
        <v>1280</v>
      </c>
      <c r="C12" s="8">
        <v>0</v>
      </c>
      <c r="D12" s="8">
        <v>5580</v>
      </c>
      <c r="E12" s="8">
        <v>0</v>
      </c>
      <c r="F12" s="8">
        <v>13880</v>
      </c>
      <c r="G12" s="8">
        <v>0</v>
      </c>
      <c r="H12" s="8">
        <v>8800</v>
      </c>
      <c r="I12" s="8">
        <v>0</v>
      </c>
      <c r="J12" s="8">
        <v>0</v>
      </c>
      <c r="K12" s="10">
        <v>0</v>
      </c>
    </row>
    <row r="13" spans="1:15" ht="18" x14ac:dyDescent="0.2">
      <c r="A13" s="29" t="s">
        <v>91</v>
      </c>
      <c r="B13" s="25">
        <v>1</v>
      </c>
      <c r="C13" s="25">
        <v>0</v>
      </c>
      <c r="D13" s="25">
        <v>0</v>
      </c>
      <c r="E13" s="25">
        <v>0</v>
      </c>
      <c r="F13" s="25">
        <v>0</v>
      </c>
      <c r="G13" s="25">
        <v>0</v>
      </c>
      <c r="H13" s="25">
        <v>0</v>
      </c>
      <c r="I13" s="25">
        <v>0</v>
      </c>
      <c r="J13" s="25">
        <v>0</v>
      </c>
      <c r="K13" s="26">
        <v>0</v>
      </c>
    </row>
    <row r="14" spans="1:15" ht="18" x14ac:dyDescent="0.2">
      <c r="A14" s="29" t="s">
        <v>92</v>
      </c>
      <c r="B14" s="25">
        <v>85</v>
      </c>
      <c r="C14" s="25">
        <v>0</v>
      </c>
      <c r="D14" s="25">
        <v>372</v>
      </c>
      <c r="E14" s="25">
        <v>0</v>
      </c>
      <c r="F14" s="25">
        <v>925</v>
      </c>
      <c r="G14" s="25">
        <v>587</v>
      </c>
      <c r="H14" s="25">
        <v>0</v>
      </c>
      <c r="I14" s="25">
        <v>0</v>
      </c>
      <c r="J14" s="25">
        <v>0</v>
      </c>
      <c r="K14" s="26">
        <v>0</v>
      </c>
    </row>
    <row r="15" spans="1:15" ht="19" thickBot="1" x14ac:dyDescent="0.25">
      <c r="A15" s="30" t="s">
        <v>59</v>
      </c>
      <c r="B15" s="9">
        <v>1285</v>
      </c>
      <c r="C15" s="9">
        <v>0</v>
      </c>
      <c r="D15" s="9">
        <v>5580</v>
      </c>
      <c r="E15" s="9">
        <v>0</v>
      </c>
      <c r="F15" s="9">
        <v>13875</v>
      </c>
      <c r="G15" s="9">
        <v>8805</v>
      </c>
      <c r="H15" s="9">
        <v>0</v>
      </c>
      <c r="I15" s="9">
        <v>0</v>
      </c>
      <c r="J15" s="9">
        <v>0</v>
      </c>
      <c r="K15" s="11">
        <v>0</v>
      </c>
      <c r="O15" t="s">
        <v>67</v>
      </c>
    </row>
  </sheetData>
  <conditionalFormatting sqref="B7:K12">
    <cfRule type="expression" dxfId="43" priority="12">
      <formula>INDEX(Name,$A7)=""</formula>
    </cfRule>
  </conditionalFormatting>
  <conditionalFormatting sqref="D2:G2">
    <cfRule type="expression" dxfId="42" priority="10">
      <formula>CELL("protect",D2)=0</formula>
    </cfRule>
  </conditionalFormatting>
  <conditionalFormatting sqref="I2 K2:N2">
    <cfRule type="expression" dxfId="41" priority="9">
      <formula>CELL("protect",I2)=0</formula>
    </cfRule>
  </conditionalFormatting>
  <conditionalFormatting sqref="J2">
    <cfRule type="expression" dxfId="40" priority="8">
      <formula>CELL("protect",J2)=0</formula>
    </cfRule>
  </conditionalFormatting>
  <conditionalFormatting sqref="H2">
    <cfRule type="expression" dxfId="39" priority="7">
      <formula>CELL("protect",H2)=0</formula>
    </cfRule>
  </conditionalFormatting>
  <conditionalFormatting sqref="B15:K15">
    <cfRule type="expression" dxfId="38" priority="4">
      <formula>INDEX(Name,$A15)=""</formula>
    </cfRule>
  </conditionalFormatting>
  <conditionalFormatting sqref="E3:L3">
    <cfRule type="expression" dxfId="37" priority="2">
      <formula>INDEX(Name,$A3)=""</formula>
    </cfRule>
  </conditionalFormatting>
  <conditionalFormatting sqref="F3:G3">
    <cfRule type="expression" dxfId="36" priority="3">
      <formula>AND(OR($D3="FP",$D3="FQ"),$E3="")</formula>
    </cfRule>
  </conditionalFormatting>
  <conditionalFormatting sqref="B6:K6">
    <cfRule type="expression" dxfId="35" priority="1">
      <formula>INDEX(Name,$A6)=""</formula>
    </cfRule>
  </conditionalFormatting>
  <dataValidations disablePrompts="1" count="3">
    <dataValidation type="whole" operator="greaterThanOrEqual" allowBlank="1" showInputMessage="1" showErrorMessage="1" error="Input must be integer greater than or equal zero" sqref="D3:I3" xr:uid="{3AC9423E-B9B7-42F7-8687-7D2AC75025A6}">
      <formula1>0</formula1>
    </dataValidation>
    <dataValidation type="whole" operator="greaterThanOrEqual" allowBlank="1" showInputMessage="1" showErrorMessage="1" errorTitle="Values" error="Input must be integer greater than or equal zero" sqref="K3 B6:K6" xr:uid="{1D5C9E98-88DE-40F4-929D-B13EB1595EB4}">
      <formula1>0</formula1>
    </dataValidation>
    <dataValidation type="decimal" operator="greaterThanOrEqual" allowBlank="1" showInputMessage="1" showErrorMessage="1" errorTitle="Values" error="Input must be greater than or equal zero" sqref="L3" xr:uid="{4F8F0336-6135-4412-A881-A73170E5BB49}">
      <formula1>0</formula1>
    </dataValidation>
  </dataValidations>
  <pageMargins left="0.7" right="0.7" top="0.75" bottom="0.75" header="0.3" footer="0.3"/>
  <drawing r:id="rId1"/>
  <picture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0E30-421A-487A-869C-650A5DEB1EBB}">
  <sheetPr codeName="Worksheet______11">
    <tabColor theme="5" tint="0.39997558519241921"/>
  </sheetPr>
  <dimension ref="A1:O15"/>
  <sheetViews>
    <sheetView showGridLines="0" workbookViewId="0">
      <selection activeCell="M37" sqref="M37"/>
    </sheetView>
  </sheetViews>
  <sheetFormatPr baseColWidth="10" defaultColWidth="8.83203125" defaultRowHeight="15" x14ac:dyDescent="0.2"/>
  <sheetData>
    <row r="1" spans="1:15" ht="16" thickBot="1" x14ac:dyDescent="0.25">
      <c r="A1" s="1" t="s">
        <v>69</v>
      </c>
    </row>
    <row r="2" spans="1:15" ht="16" thickBot="1" x14ac:dyDescent="0.25">
      <c r="D2" s="22" t="s">
        <v>3</v>
      </c>
      <c r="E2" s="3" t="s">
        <v>4</v>
      </c>
      <c r="F2" s="3" t="s">
        <v>5</v>
      </c>
      <c r="G2" s="3" t="s">
        <v>6</v>
      </c>
      <c r="H2" s="3" t="s">
        <v>19</v>
      </c>
      <c r="I2" s="3" t="s">
        <v>20</v>
      </c>
      <c r="J2" s="3" t="s">
        <v>14</v>
      </c>
      <c r="K2" s="3" t="s">
        <v>15</v>
      </c>
      <c r="L2" s="3" t="s">
        <v>21</v>
      </c>
      <c r="M2" s="3" t="s">
        <v>22</v>
      </c>
      <c r="N2" s="4" t="s">
        <v>23</v>
      </c>
    </row>
    <row r="3" spans="1:15" ht="16" thickBot="1" x14ac:dyDescent="0.25">
      <c r="A3" s="23" t="s">
        <v>17</v>
      </c>
      <c r="B3" s="24" t="s">
        <v>65</v>
      </c>
      <c r="D3" s="57">
        <v>0</v>
      </c>
      <c r="E3" s="58">
        <v>30</v>
      </c>
      <c r="F3" s="58">
        <v>0</v>
      </c>
      <c r="G3" s="58">
        <v>4</v>
      </c>
      <c r="H3" s="58">
        <v>50</v>
      </c>
      <c r="I3" s="58">
        <v>100</v>
      </c>
      <c r="J3" s="58">
        <v>30</v>
      </c>
      <c r="K3" s="58">
        <v>29</v>
      </c>
      <c r="L3" s="58">
        <v>1</v>
      </c>
      <c r="M3" s="63">
        <v>1</v>
      </c>
      <c r="N3" s="64">
        <v>3</v>
      </c>
    </row>
    <row r="4" spans="1:15" ht="16" thickBot="1" x14ac:dyDescent="0.25"/>
    <row r="5" spans="1:15" ht="16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5" ht="32" x14ac:dyDescent="0.2">
      <c r="A6" s="28" t="s">
        <v>52</v>
      </c>
      <c r="B6" s="15">
        <v>0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/>
      <c r="K6" s="10"/>
    </row>
    <row r="7" spans="1:15" ht="32" x14ac:dyDescent="0.2">
      <c r="A7" s="29" t="s">
        <v>53</v>
      </c>
      <c r="B7" s="15">
        <v>160</v>
      </c>
      <c r="C7" s="15">
        <v>0</v>
      </c>
      <c r="D7" s="15">
        <v>300</v>
      </c>
      <c r="E7" s="15">
        <v>0</v>
      </c>
      <c r="F7" s="15">
        <v>660</v>
      </c>
      <c r="G7" s="15">
        <v>0</v>
      </c>
      <c r="H7" s="15">
        <v>0</v>
      </c>
      <c r="I7" s="15">
        <v>0</v>
      </c>
      <c r="J7" s="15">
        <v>0</v>
      </c>
      <c r="K7" s="51">
        <v>0</v>
      </c>
    </row>
    <row r="8" spans="1:15" ht="18" x14ac:dyDescent="0.2">
      <c r="A8" s="29" t="s">
        <v>54</v>
      </c>
      <c r="B8" s="15">
        <v>160</v>
      </c>
      <c r="C8" s="15">
        <v>0</v>
      </c>
      <c r="D8" s="15">
        <v>300</v>
      </c>
      <c r="E8" s="15">
        <v>0</v>
      </c>
      <c r="F8" s="15">
        <v>660</v>
      </c>
      <c r="G8" s="15">
        <v>0</v>
      </c>
      <c r="H8" s="15">
        <v>0</v>
      </c>
      <c r="I8" s="15">
        <v>0</v>
      </c>
      <c r="J8" s="15">
        <v>0</v>
      </c>
      <c r="K8" s="51">
        <v>0</v>
      </c>
    </row>
    <row r="9" spans="1:15" ht="18" x14ac:dyDescent="0.2">
      <c r="A9" s="29" t="s">
        <v>55</v>
      </c>
      <c r="B9" s="15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/>
      <c r="K9" s="10"/>
    </row>
    <row r="10" spans="1:15" ht="18" x14ac:dyDescent="0.2">
      <c r="A10" s="29" t="s">
        <v>56</v>
      </c>
      <c r="B10" s="15">
        <v>30</v>
      </c>
      <c r="C10" s="8">
        <v>30</v>
      </c>
      <c r="D10" s="8">
        <v>30</v>
      </c>
      <c r="E10" s="8">
        <v>30</v>
      </c>
      <c r="F10" s="8">
        <v>30</v>
      </c>
      <c r="G10" s="8">
        <v>30</v>
      </c>
      <c r="H10" s="8">
        <v>30</v>
      </c>
      <c r="I10" s="8">
        <v>30</v>
      </c>
      <c r="J10" s="8">
        <v>30</v>
      </c>
      <c r="K10" s="10">
        <v>30</v>
      </c>
    </row>
    <row r="11" spans="1:15" ht="18" x14ac:dyDescent="0.2">
      <c r="A11" s="29" t="s">
        <v>57</v>
      </c>
      <c r="B11" s="15">
        <v>190</v>
      </c>
      <c r="C11" s="8">
        <v>0</v>
      </c>
      <c r="D11" s="8">
        <v>300</v>
      </c>
      <c r="E11" s="8">
        <v>0</v>
      </c>
      <c r="F11" s="8">
        <v>660</v>
      </c>
      <c r="G11" s="8">
        <v>0</v>
      </c>
      <c r="H11" s="8">
        <v>0</v>
      </c>
      <c r="I11" s="8">
        <v>0</v>
      </c>
      <c r="J11" s="8">
        <v>0</v>
      </c>
      <c r="K11" s="10">
        <v>0</v>
      </c>
    </row>
    <row r="12" spans="1:15" ht="18" x14ac:dyDescent="0.2">
      <c r="A12" s="29" t="s">
        <v>58</v>
      </c>
      <c r="B12" s="15">
        <v>190</v>
      </c>
      <c r="C12" s="8">
        <v>0</v>
      </c>
      <c r="D12" s="8">
        <v>300</v>
      </c>
      <c r="E12" s="8">
        <v>0</v>
      </c>
      <c r="F12" s="8">
        <v>660</v>
      </c>
      <c r="G12" s="8">
        <v>0</v>
      </c>
      <c r="H12" s="8">
        <v>0</v>
      </c>
      <c r="I12" s="8">
        <v>0</v>
      </c>
      <c r="J12" s="8">
        <v>0</v>
      </c>
      <c r="K12" s="10">
        <v>0</v>
      </c>
    </row>
    <row r="13" spans="1:15" ht="18" x14ac:dyDescent="0.2">
      <c r="A13" s="29" t="s">
        <v>91</v>
      </c>
      <c r="B13" s="25">
        <v>0</v>
      </c>
      <c r="C13" s="25">
        <v>0</v>
      </c>
      <c r="D13" s="25">
        <v>0</v>
      </c>
      <c r="E13" s="25">
        <v>0</v>
      </c>
      <c r="F13" s="25">
        <v>1</v>
      </c>
      <c r="G13" s="25">
        <v>0</v>
      </c>
      <c r="H13" s="25">
        <v>0</v>
      </c>
      <c r="I13" s="25">
        <v>0</v>
      </c>
      <c r="J13" s="25">
        <v>0</v>
      </c>
      <c r="K13" s="26">
        <v>0</v>
      </c>
    </row>
    <row r="14" spans="1:15" ht="18" x14ac:dyDescent="0.2">
      <c r="A14" s="29" t="s">
        <v>92</v>
      </c>
      <c r="B14" s="25">
        <v>2</v>
      </c>
      <c r="C14" s="25">
        <v>0</v>
      </c>
      <c r="D14" s="25">
        <v>3</v>
      </c>
      <c r="E14" s="25">
        <v>0</v>
      </c>
      <c r="F14" s="25">
        <v>6</v>
      </c>
      <c r="G14" s="25">
        <v>0</v>
      </c>
      <c r="H14" s="25">
        <v>0</v>
      </c>
      <c r="I14" s="25">
        <v>0</v>
      </c>
      <c r="J14" s="25">
        <v>0</v>
      </c>
      <c r="K14" s="26">
        <v>0</v>
      </c>
    </row>
    <row r="15" spans="1:15" ht="19" thickBot="1" x14ac:dyDescent="0.25">
      <c r="A15" s="30" t="s">
        <v>59</v>
      </c>
      <c r="B15" s="9">
        <v>200</v>
      </c>
      <c r="C15" s="9">
        <v>0</v>
      </c>
      <c r="D15" s="9">
        <v>300</v>
      </c>
      <c r="E15" s="9">
        <v>0</v>
      </c>
      <c r="F15" s="9">
        <v>650</v>
      </c>
      <c r="G15" s="9">
        <v>0</v>
      </c>
      <c r="H15" s="9">
        <v>0</v>
      </c>
      <c r="I15" s="9">
        <v>0</v>
      </c>
      <c r="J15" s="9">
        <v>0</v>
      </c>
      <c r="K15" s="11">
        <v>0</v>
      </c>
      <c r="O15" t="s">
        <v>67</v>
      </c>
    </row>
  </sheetData>
  <conditionalFormatting sqref="B6:K12">
    <cfRule type="expression" dxfId="34" priority="14">
      <formula>INDEX(Name,$A6)=""</formula>
    </cfRule>
  </conditionalFormatting>
  <conditionalFormatting sqref="D2:G2">
    <cfRule type="expression" dxfId="33" priority="12">
      <formula>CELL("protect",D2)=0</formula>
    </cfRule>
  </conditionalFormatting>
  <conditionalFormatting sqref="I2 K2:N2">
    <cfRule type="expression" dxfId="32" priority="11">
      <formula>CELL("protect",I2)=0</formula>
    </cfRule>
  </conditionalFormatting>
  <conditionalFormatting sqref="J2">
    <cfRule type="expression" dxfId="31" priority="10">
      <formula>CELL("protect",J2)=0</formula>
    </cfRule>
  </conditionalFormatting>
  <conditionalFormatting sqref="H2">
    <cfRule type="expression" dxfId="30" priority="9">
      <formula>CELL("protect",H2)=0</formula>
    </cfRule>
  </conditionalFormatting>
  <conditionalFormatting sqref="B15:K15">
    <cfRule type="expression" dxfId="29" priority="5">
      <formula>INDEX(Name,$A15)=""</formula>
    </cfRule>
  </conditionalFormatting>
  <conditionalFormatting sqref="E3:L3">
    <cfRule type="expression" dxfId="28" priority="1">
      <formula>INDEX(Name,$A3)=""</formula>
    </cfRule>
  </conditionalFormatting>
  <conditionalFormatting sqref="F3:G3">
    <cfRule type="expression" dxfId="27" priority="2">
      <formula>AND(OR($D3="FP",$D3="FQ"),$E3="")</formula>
    </cfRule>
  </conditionalFormatting>
  <dataValidations disablePrompts="1" count="3">
    <dataValidation type="whole" operator="greaterThanOrEqual" allowBlank="1" showInputMessage="1" showErrorMessage="1" error="Input must be integer greater than or equal zero" sqref="D3:I3" xr:uid="{2B0B1AC3-1F32-4B79-809D-A1DAA4D2BAB2}">
      <formula1>0</formula1>
    </dataValidation>
    <dataValidation type="whole" operator="greaterThanOrEqual" allowBlank="1" showInputMessage="1" showErrorMessage="1" errorTitle="Values" error="Input must be integer greater than or equal zero" sqref="K3" xr:uid="{A52DC049-36F6-4D3B-9400-2C65FB10564C}">
      <formula1>0</formula1>
    </dataValidation>
    <dataValidation type="decimal" operator="greaterThanOrEqual" allowBlank="1" showInputMessage="1" showErrorMessage="1" errorTitle="Values" error="Input must be greater than or equal zero" sqref="L3" xr:uid="{ACBCAF10-6AA2-4B0A-9FA3-ABC3DCBB2BC8}">
      <formula1>0</formula1>
    </dataValidation>
  </dataValidations>
  <pageMargins left="0.7" right="0.7" top="0.75" bottom="0.75" header="0.3" footer="0.3"/>
  <drawing r:id="rId1"/>
  <picture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B609A-2DCF-4859-8044-A2C260ECD2D8}">
  <sheetPr codeName="Worksheet______8">
    <tabColor theme="5" tint="0.39997558519241921"/>
  </sheetPr>
  <dimension ref="A1:O15"/>
  <sheetViews>
    <sheetView showGridLines="0" workbookViewId="0">
      <selection activeCell="B15" sqref="B15:K15"/>
    </sheetView>
  </sheetViews>
  <sheetFormatPr baseColWidth="10" defaultColWidth="8.83203125" defaultRowHeight="15" x14ac:dyDescent="0.2"/>
  <sheetData>
    <row r="1" spans="1:15" ht="16" thickBot="1" x14ac:dyDescent="0.25">
      <c r="A1" s="1" t="s">
        <v>66</v>
      </c>
    </row>
    <row r="2" spans="1:15" ht="16" thickBot="1" x14ac:dyDescent="0.25">
      <c r="D2" s="22" t="s">
        <v>3</v>
      </c>
      <c r="E2" s="3" t="s">
        <v>4</v>
      </c>
      <c r="F2" s="3" t="s">
        <v>5</v>
      </c>
      <c r="G2" s="3" t="s">
        <v>6</v>
      </c>
      <c r="H2" s="3" t="s">
        <v>19</v>
      </c>
      <c r="I2" s="3" t="s">
        <v>20</v>
      </c>
      <c r="J2" s="3" t="s">
        <v>14</v>
      </c>
      <c r="K2" s="3" t="s">
        <v>15</v>
      </c>
      <c r="L2" s="3" t="s">
        <v>21</v>
      </c>
      <c r="M2" s="3" t="s">
        <v>22</v>
      </c>
      <c r="N2" s="4" t="s">
        <v>23</v>
      </c>
    </row>
    <row r="3" spans="1:15" ht="16" thickBot="1" x14ac:dyDescent="0.25">
      <c r="A3" s="23" t="s">
        <v>12</v>
      </c>
      <c r="B3" s="24" t="s">
        <v>65</v>
      </c>
      <c r="D3" s="61">
        <v>0</v>
      </c>
      <c r="E3" s="62">
        <v>40</v>
      </c>
      <c r="F3" s="62">
        <v>30</v>
      </c>
      <c r="G3" s="62">
        <v>1</v>
      </c>
      <c r="H3" s="62">
        <v>30</v>
      </c>
      <c r="I3" s="62">
        <v>110</v>
      </c>
      <c r="J3" s="62">
        <v>5</v>
      </c>
      <c r="K3" s="62">
        <v>3</v>
      </c>
      <c r="L3" s="62">
        <v>1200</v>
      </c>
      <c r="M3" s="62">
        <v>1500</v>
      </c>
      <c r="N3" s="56">
        <v>3000</v>
      </c>
    </row>
    <row r="4" spans="1:15" ht="16" thickBot="1" x14ac:dyDescent="0.25"/>
    <row r="5" spans="1:15" ht="16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5" ht="32" x14ac:dyDescent="0.2">
      <c r="A6" s="28" t="s">
        <v>52</v>
      </c>
      <c r="B6" s="15">
        <v>0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/>
      <c r="K6" s="10"/>
    </row>
    <row r="7" spans="1:15" ht="32" x14ac:dyDescent="0.2">
      <c r="A7" s="29" t="s">
        <v>53</v>
      </c>
      <c r="B7" s="15">
        <v>1080</v>
      </c>
      <c r="C7" s="15">
        <v>0</v>
      </c>
      <c r="D7" s="15">
        <v>7230</v>
      </c>
      <c r="E7" s="15">
        <v>0</v>
      </c>
      <c r="F7" s="15">
        <v>9540</v>
      </c>
      <c r="G7" s="15">
        <v>0</v>
      </c>
      <c r="H7" s="15">
        <v>0</v>
      </c>
      <c r="I7" s="15">
        <v>0</v>
      </c>
      <c r="J7" s="15">
        <v>0</v>
      </c>
      <c r="K7" s="51">
        <v>0</v>
      </c>
    </row>
    <row r="8" spans="1:15" ht="18" x14ac:dyDescent="0.2">
      <c r="A8" s="29" t="s">
        <v>54</v>
      </c>
      <c r="B8" s="15">
        <v>1080</v>
      </c>
      <c r="C8" s="15">
        <v>0</v>
      </c>
      <c r="D8" s="15">
        <v>7230</v>
      </c>
      <c r="E8" s="15">
        <v>0</v>
      </c>
      <c r="F8" s="15">
        <v>9540</v>
      </c>
      <c r="G8" s="15">
        <v>0</v>
      </c>
      <c r="H8" s="15">
        <v>0</v>
      </c>
      <c r="I8" s="15">
        <v>0</v>
      </c>
      <c r="J8" s="15">
        <v>0</v>
      </c>
      <c r="K8" s="51">
        <v>0</v>
      </c>
    </row>
    <row r="9" spans="1:15" ht="18" x14ac:dyDescent="0.2">
      <c r="A9" s="29" t="s">
        <v>55</v>
      </c>
      <c r="B9" s="8">
        <v>0</v>
      </c>
      <c r="C9" s="8">
        <v>50</v>
      </c>
      <c r="D9" s="8">
        <v>0</v>
      </c>
      <c r="E9" s="8">
        <v>0</v>
      </c>
      <c r="F9" s="8">
        <v>0</v>
      </c>
      <c r="G9" s="8">
        <v>0</v>
      </c>
      <c r="H9" s="18">
        <v>0</v>
      </c>
      <c r="I9" s="18">
        <v>0</v>
      </c>
      <c r="J9" s="18"/>
      <c r="K9" s="19"/>
    </row>
    <row r="10" spans="1:15" ht="18" x14ac:dyDescent="0.2">
      <c r="A10" s="29" t="s">
        <v>56</v>
      </c>
      <c r="B10" s="15">
        <v>40</v>
      </c>
      <c r="C10" s="8">
        <v>90</v>
      </c>
      <c r="D10" s="8">
        <v>40</v>
      </c>
      <c r="E10" s="8">
        <v>40</v>
      </c>
      <c r="F10" s="8">
        <v>40</v>
      </c>
      <c r="G10" s="8">
        <v>40</v>
      </c>
      <c r="H10" s="8">
        <v>40</v>
      </c>
      <c r="I10" s="8">
        <v>40</v>
      </c>
      <c r="J10" s="8">
        <v>40</v>
      </c>
      <c r="K10" s="10">
        <v>40</v>
      </c>
    </row>
    <row r="11" spans="1:15" ht="18" x14ac:dyDescent="0.2">
      <c r="A11" s="29" t="s">
        <v>57</v>
      </c>
      <c r="B11" s="15">
        <v>1090</v>
      </c>
      <c r="C11" s="8">
        <v>0</v>
      </c>
      <c r="D11" s="8">
        <v>7180</v>
      </c>
      <c r="E11" s="8">
        <v>0</v>
      </c>
      <c r="F11" s="8">
        <v>9540</v>
      </c>
      <c r="G11" s="8">
        <v>0</v>
      </c>
      <c r="H11" s="8">
        <v>0</v>
      </c>
      <c r="I11" s="8">
        <v>0</v>
      </c>
      <c r="J11" s="8">
        <v>0</v>
      </c>
      <c r="K11" s="10">
        <v>0</v>
      </c>
    </row>
    <row r="12" spans="1:15" ht="18" x14ac:dyDescent="0.2">
      <c r="A12" s="29" t="s">
        <v>58</v>
      </c>
      <c r="B12" s="15">
        <v>1090</v>
      </c>
      <c r="C12" s="8">
        <v>0</v>
      </c>
      <c r="D12" s="8">
        <v>7180</v>
      </c>
      <c r="E12" s="8">
        <v>0</v>
      </c>
      <c r="F12" s="8">
        <v>9540</v>
      </c>
      <c r="G12" s="8">
        <v>0</v>
      </c>
      <c r="H12" s="8">
        <v>0</v>
      </c>
      <c r="I12" s="8">
        <v>0</v>
      </c>
      <c r="J12" s="8">
        <v>0</v>
      </c>
      <c r="K12" s="10">
        <v>0</v>
      </c>
    </row>
    <row r="13" spans="1:15" ht="18" x14ac:dyDescent="0.2">
      <c r="A13" s="29" t="s">
        <v>91</v>
      </c>
      <c r="B13" s="25">
        <v>0</v>
      </c>
      <c r="C13" s="25">
        <v>0</v>
      </c>
      <c r="D13" s="25">
        <v>4</v>
      </c>
      <c r="E13" s="25">
        <v>0</v>
      </c>
      <c r="F13" s="25">
        <v>0</v>
      </c>
      <c r="G13" s="25">
        <v>0</v>
      </c>
      <c r="H13" s="25">
        <v>0</v>
      </c>
      <c r="I13" s="25">
        <v>0</v>
      </c>
      <c r="J13" s="25">
        <v>0</v>
      </c>
      <c r="K13" s="26">
        <v>0</v>
      </c>
    </row>
    <row r="14" spans="1:15" ht="18" x14ac:dyDescent="0.2">
      <c r="A14" s="29" t="s">
        <v>92</v>
      </c>
      <c r="B14" s="25">
        <v>10</v>
      </c>
      <c r="C14" s="25">
        <v>0</v>
      </c>
      <c r="D14" s="25">
        <v>65</v>
      </c>
      <c r="E14" s="25">
        <v>0</v>
      </c>
      <c r="F14" s="25">
        <v>86</v>
      </c>
      <c r="G14" s="25">
        <v>0</v>
      </c>
      <c r="H14" s="25">
        <v>0</v>
      </c>
      <c r="I14" s="25">
        <v>0</v>
      </c>
      <c r="J14" s="25">
        <v>0</v>
      </c>
      <c r="K14" s="26">
        <v>0</v>
      </c>
    </row>
    <row r="15" spans="1:15" ht="19" thickBot="1" x14ac:dyDescent="0.25">
      <c r="A15" s="30" t="s">
        <v>59</v>
      </c>
      <c r="B15" s="9">
        <v>1100</v>
      </c>
      <c r="C15" s="9">
        <v>0</v>
      </c>
      <c r="D15" s="9">
        <v>7270</v>
      </c>
      <c r="E15" s="9">
        <v>0</v>
      </c>
      <c r="F15" s="9">
        <v>9460</v>
      </c>
      <c r="G15" s="9">
        <v>0</v>
      </c>
      <c r="H15" s="9">
        <v>0</v>
      </c>
      <c r="I15" s="9">
        <v>0</v>
      </c>
      <c r="J15" s="9">
        <v>0</v>
      </c>
      <c r="K15" s="11">
        <v>0</v>
      </c>
      <c r="O15" t="s">
        <v>67</v>
      </c>
    </row>
  </sheetData>
  <conditionalFormatting sqref="B6:K8 B10:K12">
    <cfRule type="expression" dxfId="26" priority="19">
      <formula>INDEX(Name,$A6)=""</formula>
    </cfRule>
  </conditionalFormatting>
  <conditionalFormatting sqref="D2:G2">
    <cfRule type="expression" dxfId="25" priority="11">
      <formula>CELL("protect",D2)=0</formula>
    </cfRule>
  </conditionalFormatting>
  <conditionalFormatting sqref="I2 K2:N2">
    <cfRule type="expression" dxfId="24" priority="10">
      <formula>CELL("protect",I2)=0</formula>
    </cfRule>
  </conditionalFormatting>
  <conditionalFormatting sqref="J2">
    <cfRule type="expression" dxfId="23" priority="8">
      <formula>CELL("protect",J2)=0</formula>
    </cfRule>
  </conditionalFormatting>
  <conditionalFormatting sqref="H2">
    <cfRule type="expression" dxfId="22" priority="7">
      <formula>CELL("protect",H2)=0</formula>
    </cfRule>
  </conditionalFormatting>
  <conditionalFormatting sqref="B9:K9">
    <cfRule type="expression" dxfId="21" priority="4">
      <formula>INDEX(Name,$A9)=""</formula>
    </cfRule>
  </conditionalFormatting>
  <conditionalFormatting sqref="B15:K15">
    <cfRule type="expression" dxfId="20" priority="1">
      <formula>INDEX(Name,$A15)=""</formula>
    </cfRule>
  </conditionalFormatting>
  <dataValidations count="1">
    <dataValidation type="whole" operator="greaterThanOrEqual" allowBlank="1" showInputMessage="1" showErrorMessage="1" errorTitle="Values" error="Input must be integer greater than or equal zero" sqref="B9:K9" xr:uid="{D7E8202F-A47E-46CA-A6DA-A20BF4B67B86}">
      <formula1>0</formula1>
    </dataValidation>
  </dataValidations>
  <pageMargins left="0.7" right="0.7" top="0.75" bottom="0.75" header="0.3" footer="0.3"/>
  <drawing r:id="rId1"/>
  <picture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8B2D-82EE-48EA-AE75-2B107D50E88F}">
  <sheetPr codeName="Worksheet______12">
    <tabColor theme="8" tint="-0.249977111117893"/>
  </sheetPr>
  <dimension ref="A1:L16"/>
  <sheetViews>
    <sheetView zoomScale="99" zoomScaleNormal="99" workbookViewId="0">
      <selection activeCell="F14" sqref="F14"/>
    </sheetView>
  </sheetViews>
  <sheetFormatPr baseColWidth="10" defaultColWidth="8.83203125" defaultRowHeight="15" x14ac:dyDescent="0.2"/>
  <sheetData>
    <row r="1" spans="1:12" ht="16" thickBot="1" x14ac:dyDescent="0.25">
      <c r="A1" s="34" t="s">
        <v>70</v>
      </c>
    </row>
    <row r="2" spans="1:12" ht="16" thickBot="1" x14ac:dyDescent="0.25">
      <c r="A2" s="22" t="s">
        <v>71</v>
      </c>
      <c r="B2" s="4" t="s">
        <v>6</v>
      </c>
      <c r="C2" s="35"/>
      <c r="D2" s="35"/>
      <c r="E2" s="35"/>
      <c r="F2" s="35"/>
      <c r="G2" s="35"/>
      <c r="H2" s="35"/>
      <c r="I2" s="35"/>
      <c r="J2" s="35"/>
      <c r="K2" s="35"/>
      <c r="L2" s="35"/>
    </row>
    <row r="3" spans="1:12" ht="16" thickBot="1" x14ac:dyDescent="0.25">
      <c r="A3" s="48"/>
      <c r="B3" s="13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2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</row>
    <row r="5" spans="1:12" ht="16" thickBot="1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</row>
    <row r="6" spans="1:12" ht="16" thickBot="1" x14ac:dyDescent="0.25">
      <c r="A6" s="43" t="s">
        <v>51</v>
      </c>
      <c r="B6" s="14">
        <v>0</v>
      </c>
      <c r="C6" s="3">
        <v>1</v>
      </c>
      <c r="D6" s="3">
        <v>2</v>
      </c>
      <c r="E6" s="3">
        <v>3</v>
      </c>
      <c r="F6" s="3">
        <v>4</v>
      </c>
      <c r="G6" s="3">
        <v>5</v>
      </c>
      <c r="H6" s="3">
        <v>6</v>
      </c>
      <c r="I6" s="3">
        <v>7</v>
      </c>
      <c r="J6" s="3">
        <v>8</v>
      </c>
      <c r="K6" s="3">
        <v>9</v>
      </c>
      <c r="L6" s="4">
        <v>10</v>
      </c>
    </row>
    <row r="7" spans="1:12" x14ac:dyDescent="0.2">
      <c r="A7" s="44" t="s">
        <v>72</v>
      </c>
      <c r="B7" s="41"/>
      <c r="C7" s="6"/>
      <c r="D7" s="6"/>
      <c r="E7" s="6"/>
      <c r="F7" s="6"/>
      <c r="G7" s="6"/>
      <c r="H7" s="6"/>
      <c r="I7" s="6"/>
      <c r="J7" s="6"/>
      <c r="K7" s="6"/>
      <c r="L7" s="7"/>
    </row>
    <row r="8" spans="1:12" x14ac:dyDescent="0.2">
      <c r="A8" s="45" t="s">
        <v>73</v>
      </c>
      <c r="B8" s="36"/>
      <c r="C8" s="37"/>
      <c r="D8" s="37"/>
      <c r="E8" s="37"/>
      <c r="F8" s="37"/>
      <c r="G8" s="37"/>
      <c r="H8" s="37"/>
      <c r="I8" s="37"/>
      <c r="J8" s="37"/>
      <c r="K8" s="37"/>
      <c r="L8" s="38"/>
    </row>
    <row r="9" spans="1:12" x14ac:dyDescent="0.2">
      <c r="A9" s="45" t="s">
        <v>74</v>
      </c>
      <c r="B9" s="36"/>
      <c r="C9" s="37"/>
      <c r="D9" s="37"/>
      <c r="E9" s="37"/>
      <c r="F9" s="37"/>
      <c r="G9" s="37"/>
      <c r="H9" s="37"/>
      <c r="I9" s="37"/>
      <c r="J9" s="37"/>
      <c r="K9" s="37"/>
      <c r="L9" s="38"/>
    </row>
    <row r="10" spans="1:12" x14ac:dyDescent="0.2">
      <c r="A10" s="45" t="s">
        <v>75</v>
      </c>
      <c r="B10" s="36"/>
      <c r="C10" s="37"/>
      <c r="D10" s="37"/>
      <c r="E10" s="37"/>
      <c r="F10" s="37"/>
      <c r="G10" s="37"/>
      <c r="H10" s="37"/>
      <c r="I10" s="37"/>
      <c r="J10" s="37"/>
      <c r="K10" s="37"/>
      <c r="L10" s="38"/>
    </row>
    <row r="11" spans="1:12" ht="16" thickBot="1" x14ac:dyDescent="0.25">
      <c r="A11" s="46"/>
      <c r="B11" s="42"/>
      <c r="C11" s="39"/>
      <c r="D11" s="39"/>
      <c r="E11" s="39"/>
      <c r="F11" s="39"/>
      <c r="G11" s="39"/>
      <c r="H11" s="39"/>
      <c r="I11" s="39"/>
      <c r="J11" s="39"/>
      <c r="K11" s="39"/>
      <c r="L11" s="40"/>
    </row>
    <row r="12" spans="1:12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</row>
    <row r="13" spans="1:12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</row>
    <row r="14" spans="1:12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</row>
    <row r="15" spans="1:12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</row>
    <row r="16" spans="1:12" x14ac:dyDescent="0.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</row>
  </sheetData>
  <dataValidations count="2">
    <dataValidation type="whole" operator="greaterThanOrEqual" showInputMessage="1" showErrorMessage="1" errorTitle="Values" error="V must be a positive integer" sqref="C7:L7" xr:uid="{434C42F5-242A-45E6-96DA-B70CA6A2656B}">
      <formula1>0</formula1>
    </dataValidation>
    <dataValidation type="decimal" operator="greaterThanOrEqual" showInputMessage="1" showErrorMessage="1" errorTitle="Values" error="k,h must be positive numbers" sqref="A3:B3" xr:uid="{33D22A51-218F-41F4-8AFE-B6708F912869}">
      <formula1>0</formula1>
    </dataValidation>
  </dataValidations>
  <pageMargins left="0.7" right="0.7" top="0.75" bottom="0.75" header="0.3" footer="0.3"/>
  <drawing r:id="rId1"/>
  <picture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159F6-FDE1-4D74-A0E7-3236EE43F451}">
  <sheetPr codeName="Worksheet______13">
    <tabColor theme="8" tint="-0.249977111117893"/>
  </sheetPr>
  <dimension ref="A1:L9"/>
  <sheetViews>
    <sheetView zoomScale="115" workbookViewId="0">
      <selection activeCell="C9" sqref="C8:L9"/>
    </sheetView>
  </sheetViews>
  <sheetFormatPr baseColWidth="10" defaultColWidth="8.83203125" defaultRowHeight="15" x14ac:dyDescent="0.2"/>
  <sheetData>
    <row r="1" spans="1:12" ht="16" thickBot="1" x14ac:dyDescent="0.25">
      <c r="A1" s="34" t="s">
        <v>78</v>
      </c>
    </row>
    <row r="2" spans="1:12" ht="16" thickBot="1" x14ac:dyDescent="0.25">
      <c r="A2" s="22" t="s">
        <v>71</v>
      </c>
      <c r="B2" s="4" t="s">
        <v>6</v>
      </c>
      <c r="C2" s="35"/>
      <c r="D2" s="35"/>
      <c r="E2" s="35"/>
      <c r="F2" s="35"/>
      <c r="G2" s="35"/>
      <c r="H2" s="35"/>
      <c r="I2" s="35"/>
      <c r="J2" s="35"/>
      <c r="K2" s="35"/>
      <c r="L2" s="35"/>
    </row>
    <row r="3" spans="1:12" ht="16" thickBot="1" x14ac:dyDescent="0.25">
      <c r="A3" s="48">
        <v>500</v>
      </c>
      <c r="B3" s="13">
        <v>2.2000000000000002</v>
      </c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2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</row>
    <row r="5" spans="1:12" ht="16" thickBot="1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</row>
    <row r="6" spans="1:12" ht="16" thickBot="1" x14ac:dyDescent="0.25">
      <c r="A6" s="43" t="s">
        <v>51</v>
      </c>
      <c r="B6" s="14">
        <v>0</v>
      </c>
      <c r="C6" s="3">
        <v>1</v>
      </c>
      <c r="D6" s="3">
        <v>2</v>
      </c>
      <c r="E6" s="3">
        <v>3</v>
      </c>
      <c r="F6" s="3">
        <v>4</v>
      </c>
      <c r="G6" s="3">
        <v>5</v>
      </c>
      <c r="H6" s="3">
        <v>6</v>
      </c>
      <c r="I6" s="3">
        <v>7</v>
      </c>
      <c r="J6" s="3">
        <v>8</v>
      </c>
      <c r="K6" s="3">
        <v>9</v>
      </c>
      <c r="L6" s="4">
        <v>10</v>
      </c>
    </row>
    <row r="7" spans="1:12" x14ac:dyDescent="0.2">
      <c r="A7" s="44" t="s">
        <v>72</v>
      </c>
      <c r="B7" s="41"/>
      <c r="C7" s="6">
        <v>160</v>
      </c>
      <c r="D7" s="6">
        <v>0</v>
      </c>
      <c r="E7" s="6">
        <v>300</v>
      </c>
      <c r="F7" s="6">
        <v>0</v>
      </c>
      <c r="G7" s="6">
        <v>460</v>
      </c>
      <c r="H7" s="6">
        <v>200</v>
      </c>
      <c r="I7" s="6">
        <v>0</v>
      </c>
      <c r="J7" s="6">
        <v>0</v>
      </c>
      <c r="K7" s="6">
        <v>0</v>
      </c>
      <c r="L7" s="7">
        <v>0</v>
      </c>
    </row>
    <row r="8" spans="1:12" x14ac:dyDescent="0.2">
      <c r="A8" s="45" t="s">
        <v>73</v>
      </c>
      <c r="B8" s="36"/>
      <c r="C8" s="37">
        <v>160</v>
      </c>
      <c r="D8" s="37"/>
      <c r="E8" s="37">
        <v>300</v>
      </c>
      <c r="F8" s="37"/>
      <c r="G8" s="37">
        <v>660</v>
      </c>
      <c r="H8" s="37"/>
      <c r="I8" s="37"/>
      <c r="J8" s="37">
        <v>0</v>
      </c>
      <c r="K8" s="37"/>
      <c r="L8" s="38"/>
    </row>
    <row r="9" spans="1:12" ht="16" thickBot="1" x14ac:dyDescent="0.25">
      <c r="A9" s="46" t="s">
        <v>75</v>
      </c>
      <c r="B9" s="42"/>
      <c r="C9" s="39"/>
      <c r="D9" s="39"/>
      <c r="E9" s="39"/>
      <c r="F9" s="39"/>
      <c r="G9" s="39"/>
      <c r="H9" s="39"/>
      <c r="I9" s="39"/>
      <c r="J9" s="39"/>
      <c r="K9" s="39"/>
      <c r="L9" s="40"/>
    </row>
  </sheetData>
  <dataValidations count="2">
    <dataValidation type="decimal" operator="greaterThanOrEqual" showInputMessage="1" showErrorMessage="1" errorTitle="Values" error="k,h must be positive numbers" sqref="A3:B3" xr:uid="{65E8ADF3-A36D-4AEE-A494-9AA42F049469}">
      <formula1>0</formula1>
    </dataValidation>
    <dataValidation type="whole" operator="greaterThanOrEqual" showInputMessage="1" showErrorMessage="1" errorTitle="Values" error="V must be a positive integer" sqref="C7:L7" xr:uid="{F73EE5C8-FD81-4AA0-A277-5990947011F0}">
      <formula1>0</formula1>
    </dataValidation>
  </dataValidations>
  <pageMargins left="0.7" right="0.7" top="0.75" bottom="0.75" header="0.3" footer="0.3"/>
  <drawing r:id="rId1"/>
  <picture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A8B18-C793-47AF-962D-FAA1D18E1D2B}">
  <sheetPr codeName="Worksheet______14">
    <tabColor theme="8" tint="-0.249977111117893"/>
  </sheetPr>
  <dimension ref="A1:K8"/>
  <sheetViews>
    <sheetView zoomScale="167" workbookViewId="0">
      <selection activeCell="C3" sqref="C3"/>
    </sheetView>
  </sheetViews>
  <sheetFormatPr baseColWidth="10" defaultColWidth="8.83203125" defaultRowHeight="15" x14ac:dyDescent="0.2"/>
  <sheetData>
    <row r="1" spans="1:11" ht="16" thickBot="1" x14ac:dyDescent="0.25">
      <c r="A1" s="1" t="s">
        <v>76</v>
      </c>
    </row>
    <row r="2" spans="1:11" ht="16" thickBot="1" x14ac:dyDescent="0.25">
      <c r="A2" s="22" t="s">
        <v>71</v>
      </c>
      <c r="B2" s="3" t="s">
        <v>6</v>
      </c>
      <c r="C2" s="4" t="s">
        <v>90</v>
      </c>
      <c r="E2" s="47"/>
      <c r="F2" s="47"/>
      <c r="G2" s="47"/>
      <c r="H2" s="47"/>
      <c r="I2" s="47"/>
      <c r="J2" s="47"/>
    </row>
    <row r="3" spans="1:11" ht="16" thickBot="1" x14ac:dyDescent="0.25">
      <c r="A3" s="48">
        <v>600</v>
      </c>
      <c r="B3" s="12">
        <v>2</v>
      </c>
      <c r="C3" s="13">
        <v>2</v>
      </c>
      <c r="D3" s="35"/>
      <c r="E3" s="35"/>
      <c r="F3" s="35"/>
      <c r="G3" s="35"/>
      <c r="H3" s="35"/>
      <c r="I3" s="35"/>
      <c r="J3" s="35"/>
    </row>
    <row r="4" spans="1:11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</row>
    <row r="5" spans="1:11" ht="16" thickBot="1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</row>
    <row r="6" spans="1:11" ht="16" thickBot="1" x14ac:dyDescent="0.25">
      <c r="A6" s="43" t="s">
        <v>51</v>
      </c>
      <c r="B6" s="14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>
        <v>8</v>
      </c>
      <c r="J6" s="3">
        <v>9</v>
      </c>
      <c r="K6" s="4">
        <v>10</v>
      </c>
    </row>
    <row r="7" spans="1:11" x14ac:dyDescent="0.2">
      <c r="A7" s="44" t="s">
        <v>72</v>
      </c>
      <c r="B7" s="50">
        <v>360</v>
      </c>
      <c r="C7" s="6">
        <v>0</v>
      </c>
      <c r="D7" s="6">
        <v>1400</v>
      </c>
      <c r="E7" s="6">
        <v>1010</v>
      </c>
      <c r="F7" s="6">
        <v>2080</v>
      </c>
      <c r="G7" s="6">
        <v>1100</v>
      </c>
      <c r="H7" s="6">
        <v>0</v>
      </c>
      <c r="I7" s="6">
        <v>0</v>
      </c>
      <c r="J7" s="6">
        <v>0</v>
      </c>
      <c r="K7" s="7">
        <v>0</v>
      </c>
    </row>
    <row r="8" spans="1:11" ht="16" thickBot="1" x14ac:dyDescent="0.25">
      <c r="A8" s="46" t="s">
        <v>73</v>
      </c>
      <c r="B8" s="49">
        <v>360</v>
      </c>
      <c r="C8" s="39"/>
      <c r="D8" s="39">
        <v>2410</v>
      </c>
      <c r="E8" s="39"/>
      <c r="F8" s="39">
        <v>3180</v>
      </c>
      <c r="G8" s="39"/>
      <c r="H8" s="39">
        <v>0</v>
      </c>
      <c r="I8" s="39"/>
      <c r="J8" s="39">
        <v>0</v>
      </c>
      <c r="K8" s="40"/>
    </row>
  </sheetData>
  <conditionalFormatting sqref="B8:K8">
    <cfRule type="expression" dxfId="19" priority="2" stopIfTrue="1">
      <formula>AND(ID&lt;&gt;0,INDEX(LOT,ID)&lt;&gt;"FP")</formula>
    </cfRule>
  </conditionalFormatting>
  <conditionalFormatting sqref="B8:K8">
    <cfRule type="expression" dxfId="18" priority="1" stopIfTrue="1">
      <formula>AND(ID&lt;&gt;0,INDEX(LOT,ID)&lt;&gt;"FP")</formula>
    </cfRule>
  </conditionalFormatting>
  <dataValidations count="2">
    <dataValidation type="decimal" operator="greaterThanOrEqual" showInputMessage="1" showErrorMessage="1" errorTitle="Values" error="k,h must be positive numbers" sqref="A3:C3" xr:uid="{3BE22F2D-D3E7-4F57-9A7C-025E454CCD4F}">
      <formula1>0</formula1>
    </dataValidation>
    <dataValidation type="whole" operator="greaterThanOrEqual" showInputMessage="1" showErrorMessage="1" errorTitle="Values" error="V must be a positive integer" sqref="B7:K7" xr:uid="{2B6D112B-2C01-4F7C-B1FD-6278A811B8A8}">
      <formula1>0</formula1>
    </dataValidation>
  </dataValidations>
  <pageMargins left="0.7" right="0.7" top="0.75" bottom="0.75" header="0.3" footer="0.3"/>
  <drawing r:id="rId1"/>
  <picture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A717C-4DA4-46EC-B128-351394C7F7EF}">
  <sheetPr codeName="Worksheet______15">
    <tabColor theme="8" tint="-0.249977111117893"/>
  </sheetPr>
  <dimension ref="A1:K8"/>
  <sheetViews>
    <sheetView workbookViewId="0">
      <selection activeCell="P28" sqref="P28"/>
    </sheetView>
  </sheetViews>
  <sheetFormatPr baseColWidth="10" defaultColWidth="8.83203125" defaultRowHeight="15" x14ac:dyDescent="0.2"/>
  <sheetData>
    <row r="1" spans="1:11" ht="16" thickBot="1" x14ac:dyDescent="0.25">
      <c r="A1" s="1" t="s">
        <v>77</v>
      </c>
    </row>
    <row r="2" spans="1:11" ht="16" thickBot="1" x14ac:dyDescent="0.25">
      <c r="A2" s="22" t="s">
        <v>71</v>
      </c>
      <c r="B2" s="4" t="s">
        <v>6</v>
      </c>
      <c r="E2" s="47"/>
      <c r="F2" s="47"/>
      <c r="G2" s="47"/>
      <c r="H2" s="47"/>
      <c r="I2" s="47"/>
      <c r="J2" s="47"/>
    </row>
    <row r="3" spans="1:11" ht="16" thickBot="1" x14ac:dyDescent="0.25">
      <c r="A3" s="48">
        <v>30</v>
      </c>
      <c r="B3" s="13">
        <v>1</v>
      </c>
      <c r="D3" s="35"/>
      <c r="E3" s="35"/>
      <c r="F3" s="35"/>
      <c r="G3" s="35"/>
      <c r="H3" s="35"/>
      <c r="I3" s="35"/>
      <c r="J3" s="35"/>
    </row>
    <row r="4" spans="1:11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</row>
    <row r="5" spans="1:11" ht="16" thickBot="1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</row>
    <row r="6" spans="1:11" ht="16" thickBot="1" x14ac:dyDescent="0.25">
      <c r="A6" s="43" t="s">
        <v>51</v>
      </c>
      <c r="B6" s="14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>
        <v>8</v>
      </c>
      <c r="J6" s="3">
        <v>9</v>
      </c>
      <c r="K6" s="4">
        <v>10</v>
      </c>
    </row>
    <row r="7" spans="1:11" x14ac:dyDescent="0.2">
      <c r="A7" s="44" t="s">
        <v>72</v>
      </c>
      <c r="B7" s="50">
        <v>0</v>
      </c>
      <c r="C7" s="6">
        <v>0</v>
      </c>
      <c r="D7" s="6">
        <v>0</v>
      </c>
      <c r="E7" s="6">
        <v>390</v>
      </c>
      <c r="F7" s="6">
        <v>50</v>
      </c>
      <c r="G7" s="6">
        <v>400</v>
      </c>
      <c r="H7" s="6">
        <v>0</v>
      </c>
      <c r="I7" s="6">
        <v>0</v>
      </c>
      <c r="J7" s="6">
        <v>0</v>
      </c>
      <c r="K7" s="7">
        <v>0</v>
      </c>
    </row>
    <row r="8" spans="1:11" ht="16" thickBot="1" x14ac:dyDescent="0.25">
      <c r="A8" s="46" t="s">
        <v>73</v>
      </c>
      <c r="B8" s="49">
        <v>0</v>
      </c>
      <c r="C8" s="39">
        <v>0</v>
      </c>
      <c r="D8" s="39">
        <v>0</v>
      </c>
      <c r="E8" s="39">
        <v>390</v>
      </c>
      <c r="F8" s="39">
        <v>50</v>
      </c>
      <c r="G8" s="39">
        <v>400</v>
      </c>
      <c r="H8" s="39">
        <v>0</v>
      </c>
      <c r="I8" s="39">
        <v>0</v>
      </c>
      <c r="J8" s="39">
        <v>0</v>
      </c>
      <c r="K8" s="40">
        <v>0</v>
      </c>
    </row>
  </sheetData>
  <conditionalFormatting sqref="B8:K8">
    <cfRule type="expression" dxfId="17" priority="2" stopIfTrue="1">
      <formula>AND(ID&lt;&gt;0,INDEX(LOT,ID)&lt;&gt;"FP")</formula>
    </cfRule>
  </conditionalFormatting>
  <conditionalFormatting sqref="B8:K8">
    <cfRule type="expression" dxfId="16" priority="1" stopIfTrue="1">
      <formula>AND(ID&lt;&gt;0,INDEX(LOT,ID)&lt;&gt;"FP")</formula>
    </cfRule>
  </conditionalFormatting>
  <dataValidations count="2">
    <dataValidation type="whole" operator="greaterThanOrEqual" showInputMessage="1" showErrorMessage="1" errorTitle="Values" error="V must be a positive integer" sqref="B7:K7" xr:uid="{AB84575B-70D8-4681-990A-D7288C6DC2EE}">
      <formula1>0</formula1>
    </dataValidation>
    <dataValidation type="decimal" operator="greaterThanOrEqual" showInputMessage="1" showErrorMessage="1" errorTitle="Values" error="k,h must be positive numbers" sqref="A3:C3" xr:uid="{9AF57D80-6EE9-4D50-8ACC-B8A9A6AC8C74}">
      <formula1>0</formula1>
    </dataValidation>
  </dataValidations>
  <pageMargins left="0.7" right="0.7" top="0.75" bottom="0.75" header="0.3" footer="0.3"/>
  <drawing r:id="rId1"/>
  <picture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F4007-117E-4A36-A73D-3EF8F23CF769}">
  <sheetPr codeName="Worksheet______16">
    <tabColor rgb="FFFF0000"/>
  </sheetPr>
  <dimension ref="A1:N36"/>
  <sheetViews>
    <sheetView tabSelected="1" zoomScaleNormal="132" workbookViewId="0">
      <selection activeCell="P18" sqref="P18"/>
    </sheetView>
  </sheetViews>
  <sheetFormatPr baseColWidth="10" defaultColWidth="8.83203125" defaultRowHeight="15" x14ac:dyDescent="0.2"/>
  <cols>
    <col min="1" max="1" width="42" style="2" customWidth="1"/>
    <col min="2" max="2" width="9.83203125" style="2" bestFit="1" customWidth="1"/>
    <col min="3" max="3" width="10.83203125" style="2" bestFit="1" customWidth="1"/>
    <col min="4" max="6" width="9.83203125" style="2" bestFit="1" customWidth="1"/>
    <col min="7" max="12" width="10.83203125" style="2" bestFit="1" customWidth="1"/>
    <col min="13" max="13" width="11.1640625" style="2" bestFit="1" customWidth="1"/>
    <col min="14" max="16384" width="8.83203125" style="2"/>
  </cols>
  <sheetData>
    <row r="1" spans="1:13" ht="15.5" customHeight="1" x14ac:dyDescent="0.2">
      <c r="A1" s="52" t="s">
        <v>93</v>
      </c>
    </row>
    <row r="2" spans="1:13" ht="16" thickBot="1" x14ac:dyDescent="0.25">
      <c r="L2"/>
      <c r="M2"/>
    </row>
    <row r="3" spans="1:13" ht="16" thickBot="1" x14ac:dyDescent="0.25">
      <c r="A3" s="22" t="s">
        <v>3</v>
      </c>
      <c r="B3" s="3" t="s">
        <v>4</v>
      </c>
      <c r="C3" s="3" t="s">
        <v>5</v>
      </c>
      <c r="D3" s="3" t="s">
        <v>6</v>
      </c>
      <c r="E3" s="3" t="s">
        <v>19</v>
      </c>
      <c r="F3" s="3" t="s">
        <v>20</v>
      </c>
      <c r="G3" s="3" t="s">
        <v>14</v>
      </c>
      <c r="H3" s="3" t="s">
        <v>15</v>
      </c>
      <c r="I3" s="3" t="s">
        <v>21</v>
      </c>
      <c r="J3" s="3" t="s">
        <v>22</v>
      </c>
      <c r="K3" s="4" t="s">
        <v>23</v>
      </c>
      <c r="L3" s="4" t="s">
        <v>100</v>
      </c>
      <c r="M3" s="2" t="s">
        <v>106</v>
      </c>
    </row>
    <row r="4" spans="1:13" ht="16" thickBot="1" x14ac:dyDescent="0.25">
      <c r="A4" s="89">
        <v>0</v>
      </c>
      <c r="B4" s="90">
        <v>30</v>
      </c>
      <c r="C4" s="90">
        <v>0</v>
      </c>
      <c r="D4" s="90">
        <v>4</v>
      </c>
      <c r="E4" s="90">
        <v>50</v>
      </c>
      <c r="F4" s="90">
        <v>100</v>
      </c>
      <c r="G4" s="90">
        <v>30</v>
      </c>
      <c r="H4" s="90">
        <v>29</v>
      </c>
      <c r="I4" s="90">
        <v>1</v>
      </c>
      <c r="J4" s="91">
        <v>1</v>
      </c>
      <c r="K4" s="92">
        <v>400</v>
      </c>
      <c r="L4" s="56">
        <v>1000</v>
      </c>
    </row>
    <row r="6" spans="1:13" x14ac:dyDescent="0.2">
      <c r="M6"/>
    </row>
    <row r="7" spans="1:13" x14ac:dyDescent="0.2">
      <c r="M7"/>
    </row>
    <row r="8" spans="1:13" ht="16" thickBot="1" x14ac:dyDescent="0.25">
      <c r="M8"/>
    </row>
    <row r="9" spans="1:13" ht="40.75" customHeight="1" thickBot="1" x14ac:dyDescent="0.25">
      <c r="A9" s="27" t="s">
        <v>51</v>
      </c>
      <c r="B9" s="68">
        <v>1</v>
      </c>
      <c r="C9" s="69">
        <v>2</v>
      </c>
      <c r="D9" s="69">
        <v>3</v>
      </c>
      <c r="E9" s="69">
        <v>4</v>
      </c>
      <c r="F9" s="69">
        <v>5</v>
      </c>
      <c r="G9" s="69">
        <v>6</v>
      </c>
      <c r="H9" s="69">
        <v>7</v>
      </c>
      <c r="I9" s="69">
        <v>8</v>
      </c>
      <c r="J9" s="69">
        <v>9</v>
      </c>
      <c r="K9" s="69">
        <v>10</v>
      </c>
      <c r="L9" s="70"/>
      <c r="M9"/>
    </row>
    <row r="10" spans="1:13" ht="19" thickBot="1" x14ac:dyDescent="0.25">
      <c r="A10" s="77" t="s">
        <v>58</v>
      </c>
      <c r="B10" s="108">
        <v>190</v>
      </c>
      <c r="C10" s="104">
        <v>0</v>
      </c>
      <c r="D10" s="104">
        <v>300</v>
      </c>
      <c r="E10" s="104">
        <v>0</v>
      </c>
      <c r="F10" s="104">
        <v>660</v>
      </c>
      <c r="G10" s="104">
        <v>0</v>
      </c>
      <c r="H10" s="104">
        <v>0</v>
      </c>
      <c r="I10" s="104">
        <v>0</v>
      </c>
      <c r="J10" s="104">
        <v>0</v>
      </c>
      <c r="K10" s="87">
        <v>0</v>
      </c>
      <c r="L10" s="71">
        <f t="shared" ref="L10:L18" si="0">SUM(B10:K10)</f>
        <v>1150</v>
      </c>
      <c r="M10" t="s">
        <v>107</v>
      </c>
    </row>
    <row r="11" spans="1:13" ht="18" x14ac:dyDescent="0.2">
      <c r="A11" s="76" t="s">
        <v>91</v>
      </c>
      <c r="B11" s="72">
        <v>0</v>
      </c>
      <c r="C11" s="73">
        <v>0</v>
      </c>
      <c r="D11" s="73">
        <v>0</v>
      </c>
      <c r="E11" s="73">
        <v>0</v>
      </c>
      <c r="F11" s="73">
        <v>1</v>
      </c>
      <c r="G11" s="73">
        <v>0</v>
      </c>
      <c r="H11" s="73">
        <v>0</v>
      </c>
      <c r="I11" s="73">
        <v>0</v>
      </c>
      <c r="J11" s="73">
        <v>0</v>
      </c>
      <c r="K11" s="80">
        <v>0</v>
      </c>
      <c r="L11" s="74">
        <f t="shared" si="0"/>
        <v>1</v>
      </c>
      <c r="M11" t="s">
        <v>108</v>
      </c>
    </row>
    <row r="12" spans="1:13" ht="18" x14ac:dyDescent="0.2">
      <c r="A12" s="65" t="s">
        <v>92</v>
      </c>
      <c r="B12" s="67">
        <v>2</v>
      </c>
      <c r="C12" s="8">
        <v>0</v>
      </c>
      <c r="D12" s="8">
        <v>3</v>
      </c>
      <c r="E12" s="8">
        <v>0</v>
      </c>
      <c r="F12" s="8">
        <v>6</v>
      </c>
      <c r="G12" s="8">
        <v>0</v>
      </c>
      <c r="H12" s="8">
        <v>0</v>
      </c>
      <c r="I12" s="8">
        <v>0</v>
      </c>
      <c r="J12" s="8">
        <v>0</v>
      </c>
      <c r="K12" s="75">
        <v>0</v>
      </c>
      <c r="L12" s="10">
        <f t="shared" si="0"/>
        <v>11</v>
      </c>
      <c r="M12"/>
    </row>
    <row r="13" spans="1:13" ht="18" x14ac:dyDescent="0.2">
      <c r="A13" s="65" t="s">
        <v>102</v>
      </c>
      <c r="B13" s="67">
        <v>0</v>
      </c>
      <c r="C13" s="8">
        <v>0</v>
      </c>
      <c r="D13" s="8">
        <v>0</v>
      </c>
      <c r="E13" s="8">
        <v>0</v>
      </c>
      <c r="F13" s="8">
        <v>1</v>
      </c>
      <c r="G13" s="8">
        <v>0</v>
      </c>
      <c r="H13" s="18">
        <v>0</v>
      </c>
      <c r="I13" s="18">
        <v>0</v>
      </c>
      <c r="J13" s="18">
        <v>0</v>
      </c>
      <c r="K13" s="81">
        <v>0</v>
      </c>
      <c r="L13" s="19">
        <f t="shared" si="0"/>
        <v>1</v>
      </c>
      <c r="M13"/>
    </row>
    <row r="14" spans="1:13" ht="18" x14ac:dyDescent="0.2">
      <c r="A14" s="65" t="s">
        <v>103</v>
      </c>
      <c r="B14" s="67">
        <v>1</v>
      </c>
      <c r="C14" s="8">
        <v>0</v>
      </c>
      <c r="D14" s="8">
        <v>1</v>
      </c>
      <c r="E14" s="8">
        <v>0</v>
      </c>
      <c r="F14" s="8">
        <v>1</v>
      </c>
      <c r="G14" s="8">
        <v>0</v>
      </c>
      <c r="H14" s="8">
        <v>0</v>
      </c>
      <c r="I14" s="8">
        <v>0</v>
      </c>
      <c r="J14" s="8">
        <v>0</v>
      </c>
      <c r="K14" s="75">
        <v>0</v>
      </c>
      <c r="L14" s="10">
        <f t="shared" si="0"/>
        <v>3</v>
      </c>
      <c r="M14"/>
    </row>
    <row r="15" spans="1:13" ht="18" x14ac:dyDescent="0.2">
      <c r="A15" s="65" t="s">
        <v>104</v>
      </c>
      <c r="B15" s="67">
        <v>0</v>
      </c>
      <c r="C15" s="8">
        <v>0</v>
      </c>
      <c r="D15" s="8">
        <v>0</v>
      </c>
      <c r="E15" s="8">
        <v>0</v>
      </c>
      <c r="F15" s="8">
        <v>1</v>
      </c>
      <c r="G15" s="8">
        <v>0</v>
      </c>
      <c r="H15" s="8">
        <v>0</v>
      </c>
      <c r="I15" s="8">
        <v>0</v>
      </c>
      <c r="J15" s="8">
        <v>0</v>
      </c>
      <c r="K15" s="75">
        <v>0</v>
      </c>
      <c r="L15" s="10">
        <f t="shared" si="0"/>
        <v>1</v>
      </c>
    </row>
    <row r="16" spans="1:13" ht="18" x14ac:dyDescent="0.2">
      <c r="A16" s="76" t="s">
        <v>112</v>
      </c>
      <c r="B16" s="82">
        <v>0</v>
      </c>
      <c r="C16" s="83">
        <v>0</v>
      </c>
      <c r="D16" s="83">
        <v>0</v>
      </c>
      <c r="E16" s="83">
        <v>0</v>
      </c>
      <c r="F16" s="83">
        <v>1</v>
      </c>
      <c r="G16" s="83">
        <v>0</v>
      </c>
      <c r="H16" s="83">
        <v>0</v>
      </c>
      <c r="I16" s="83">
        <v>0</v>
      </c>
      <c r="J16" s="83">
        <v>0</v>
      </c>
      <c r="K16" s="84">
        <v>0</v>
      </c>
      <c r="L16" s="85"/>
    </row>
    <row r="17" spans="1:14" ht="18" x14ac:dyDescent="0.2">
      <c r="A17" s="76" t="s">
        <v>113</v>
      </c>
      <c r="B17" s="82">
        <v>1</v>
      </c>
      <c r="C17" s="83">
        <v>0</v>
      </c>
      <c r="D17" s="83">
        <v>1</v>
      </c>
      <c r="E17" s="83">
        <v>0</v>
      </c>
      <c r="F17" s="83">
        <v>1</v>
      </c>
      <c r="G17" s="83">
        <v>0</v>
      </c>
      <c r="H17" s="83">
        <v>0</v>
      </c>
      <c r="I17" s="83">
        <v>0</v>
      </c>
      <c r="J17" s="83">
        <v>0</v>
      </c>
      <c r="K17" s="84">
        <v>0</v>
      </c>
      <c r="L17" s="85"/>
    </row>
    <row r="18" spans="1:14" ht="19" thickBot="1" x14ac:dyDescent="0.25">
      <c r="A18" s="66" t="s">
        <v>105</v>
      </c>
      <c r="B18" s="82">
        <v>10</v>
      </c>
      <c r="C18" s="83">
        <v>10</v>
      </c>
      <c r="D18" s="83">
        <v>10</v>
      </c>
      <c r="E18" s="83">
        <v>10</v>
      </c>
      <c r="F18" s="83">
        <v>0</v>
      </c>
      <c r="G18" s="83">
        <v>0</v>
      </c>
      <c r="H18" s="83">
        <v>0</v>
      </c>
      <c r="I18" s="83">
        <v>0</v>
      </c>
      <c r="J18" s="83">
        <v>0</v>
      </c>
      <c r="K18" s="84">
        <v>0</v>
      </c>
      <c r="L18" s="85">
        <f t="shared" si="0"/>
        <v>40</v>
      </c>
    </row>
    <row r="19" spans="1:14" ht="16" x14ac:dyDescent="0.2">
      <c r="A19" s="65" t="s">
        <v>117</v>
      </c>
      <c r="B19" s="129">
        <f>B10-(B24)+B18</f>
        <v>0</v>
      </c>
      <c r="C19" s="95">
        <f>C10-C24-B18+C18</f>
        <v>0</v>
      </c>
      <c r="D19" s="95">
        <f t="shared" ref="D19:J19" si="1">D10-D24-C18+D18</f>
        <v>0</v>
      </c>
      <c r="E19" s="95">
        <f t="shared" si="1"/>
        <v>0</v>
      </c>
      <c r="F19" s="95">
        <f t="shared" si="1"/>
        <v>0</v>
      </c>
      <c r="G19" s="95">
        <f t="shared" si="1"/>
        <v>0</v>
      </c>
      <c r="H19" s="95">
        <f t="shared" si="1"/>
        <v>0</v>
      </c>
      <c r="I19" s="95">
        <f t="shared" si="1"/>
        <v>0</v>
      </c>
      <c r="J19" s="95">
        <f t="shared" si="1"/>
        <v>0</v>
      </c>
      <c r="K19" s="95">
        <f>K10-K24-J18+K18</f>
        <v>0</v>
      </c>
      <c r="L19" s="96"/>
      <c r="M19" s="2" t="s">
        <v>101</v>
      </c>
    </row>
    <row r="20" spans="1:14" ht="16" x14ac:dyDescent="0.2">
      <c r="A20" s="65" t="s">
        <v>114</v>
      </c>
      <c r="B20" s="93">
        <f>$L$4*B16-B11*$E$4</f>
        <v>0</v>
      </c>
      <c r="C20" s="93">
        <f t="shared" ref="C20:K20" si="2">$L$4*C16-C11*$E$4</f>
        <v>0</v>
      </c>
      <c r="D20" s="93">
        <f t="shared" si="2"/>
        <v>0</v>
      </c>
      <c r="E20" s="93">
        <f t="shared" si="2"/>
        <v>0</v>
      </c>
      <c r="F20" s="93">
        <f t="shared" si="2"/>
        <v>950</v>
      </c>
      <c r="G20" s="93">
        <f t="shared" si="2"/>
        <v>0</v>
      </c>
      <c r="H20" s="93">
        <f t="shared" si="2"/>
        <v>0</v>
      </c>
      <c r="I20" s="93">
        <f t="shared" si="2"/>
        <v>0</v>
      </c>
      <c r="J20" s="93">
        <f t="shared" si="2"/>
        <v>0</v>
      </c>
      <c r="K20" s="93">
        <f t="shared" si="2"/>
        <v>0</v>
      </c>
      <c r="L20" s="87"/>
    </row>
    <row r="21" spans="1:14" ht="16" x14ac:dyDescent="0.2">
      <c r="A21" s="65" t="s">
        <v>115</v>
      </c>
      <c r="B21" s="93">
        <f>$L$4*B17-B12*$F$4</f>
        <v>800</v>
      </c>
      <c r="C21" s="93">
        <f t="shared" ref="C21:K21" si="3">$L$4*C17-C12*$F$4</f>
        <v>0</v>
      </c>
      <c r="D21" s="93">
        <f t="shared" si="3"/>
        <v>700</v>
      </c>
      <c r="E21" s="93">
        <f t="shared" si="3"/>
        <v>0</v>
      </c>
      <c r="F21" s="93">
        <f t="shared" si="3"/>
        <v>400</v>
      </c>
      <c r="G21" s="93">
        <f t="shared" si="3"/>
        <v>0</v>
      </c>
      <c r="H21" s="93">
        <f t="shared" si="3"/>
        <v>0</v>
      </c>
      <c r="I21" s="93">
        <f t="shared" si="3"/>
        <v>0</v>
      </c>
      <c r="J21" s="93">
        <f t="shared" si="3"/>
        <v>0</v>
      </c>
      <c r="K21" s="93">
        <f t="shared" si="3"/>
        <v>0</v>
      </c>
      <c r="L21" s="87"/>
    </row>
    <row r="22" spans="1:14" ht="16" x14ac:dyDescent="0.2">
      <c r="A22" s="65" t="s">
        <v>116</v>
      </c>
      <c r="B22" s="86">
        <f>B16+B17-B15</f>
        <v>1</v>
      </c>
      <c r="C22" s="86">
        <f t="shared" ref="C22:J22" si="4">C16+C17-C15</f>
        <v>0</v>
      </c>
      <c r="D22" s="86">
        <f t="shared" si="4"/>
        <v>1</v>
      </c>
      <c r="E22" s="86">
        <f t="shared" si="4"/>
        <v>0</v>
      </c>
      <c r="F22" s="86">
        <f t="shared" si="4"/>
        <v>1</v>
      </c>
      <c r="G22" s="86">
        <f t="shared" si="4"/>
        <v>0</v>
      </c>
      <c r="H22" s="86">
        <f t="shared" si="4"/>
        <v>0</v>
      </c>
      <c r="I22" s="86">
        <f t="shared" si="4"/>
        <v>0</v>
      </c>
      <c r="J22" s="86">
        <f t="shared" si="4"/>
        <v>0</v>
      </c>
      <c r="K22" s="86">
        <f>K16+K17-K15</f>
        <v>0</v>
      </c>
      <c r="L22" s="86"/>
    </row>
    <row r="23" spans="1:14" ht="16" x14ac:dyDescent="0.2">
      <c r="A23" s="65" t="s">
        <v>118</v>
      </c>
      <c r="B23" s="86">
        <f>B13+B14-B15</f>
        <v>1</v>
      </c>
      <c r="C23" s="86">
        <f t="shared" ref="C23:K23" si="5">C13+C14-C15</f>
        <v>0</v>
      </c>
      <c r="D23" s="86">
        <f t="shared" si="5"/>
        <v>1</v>
      </c>
      <c r="E23" s="86">
        <f t="shared" si="5"/>
        <v>0</v>
      </c>
      <c r="F23" s="86">
        <f t="shared" si="5"/>
        <v>1</v>
      </c>
      <c r="G23" s="86">
        <f t="shared" si="5"/>
        <v>0</v>
      </c>
      <c r="H23" s="86">
        <f t="shared" si="5"/>
        <v>0</v>
      </c>
      <c r="I23" s="86">
        <f t="shared" si="5"/>
        <v>0</v>
      </c>
      <c r="J23" s="86">
        <f t="shared" si="5"/>
        <v>0</v>
      </c>
      <c r="K23" s="86">
        <f t="shared" si="5"/>
        <v>0</v>
      </c>
      <c r="L23" s="122"/>
    </row>
    <row r="24" spans="1:14" ht="16" x14ac:dyDescent="0.2">
      <c r="A24" s="65" t="s">
        <v>109</v>
      </c>
      <c r="B24" s="139">
        <f>$E$4*B11+$F$4*B12</f>
        <v>200</v>
      </c>
      <c r="C24" s="139">
        <f t="shared" ref="C24:K24" si="6">$E$4*C11+$F$4*C12</f>
        <v>0</v>
      </c>
      <c r="D24" s="139">
        <f t="shared" si="6"/>
        <v>300</v>
      </c>
      <c r="E24" s="139">
        <f t="shared" si="6"/>
        <v>0</v>
      </c>
      <c r="F24" s="139">
        <f t="shared" si="6"/>
        <v>650</v>
      </c>
      <c r="G24" s="139">
        <f t="shared" si="6"/>
        <v>0</v>
      </c>
      <c r="H24" s="139">
        <f t="shared" si="6"/>
        <v>0</v>
      </c>
      <c r="I24" s="139">
        <f t="shared" si="6"/>
        <v>0</v>
      </c>
      <c r="J24" s="139">
        <f t="shared" si="6"/>
        <v>0</v>
      </c>
      <c r="K24" s="139">
        <f t="shared" si="6"/>
        <v>0</v>
      </c>
      <c r="L24" s="122"/>
    </row>
    <row r="25" spans="1:14" ht="16" x14ac:dyDescent="0.2">
      <c r="A25" s="65" t="s">
        <v>119</v>
      </c>
      <c r="B25" s="86">
        <f>$L$4*B13-B11*$E$4</f>
        <v>0</v>
      </c>
      <c r="C25" s="86">
        <f t="shared" ref="C25:K25" si="7">$L$4*C13-C11*$E$4</f>
        <v>0</v>
      </c>
      <c r="D25" s="86">
        <f t="shared" si="7"/>
        <v>0</v>
      </c>
      <c r="E25" s="86">
        <f t="shared" si="7"/>
        <v>0</v>
      </c>
      <c r="F25" s="86">
        <f t="shared" si="7"/>
        <v>950</v>
      </c>
      <c r="G25" s="86">
        <f t="shared" si="7"/>
        <v>0</v>
      </c>
      <c r="H25" s="86">
        <f t="shared" si="7"/>
        <v>0</v>
      </c>
      <c r="I25" s="86">
        <f t="shared" si="7"/>
        <v>0</v>
      </c>
      <c r="J25" s="86">
        <f t="shared" si="7"/>
        <v>0</v>
      </c>
      <c r="K25" s="86">
        <f t="shared" si="7"/>
        <v>0</v>
      </c>
      <c r="L25" s="122"/>
    </row>
    <row r="26" spans="1:14" ht="16" x14ac:dyDescent="0.2">
      <c r="A26" s="65" t="s">
        <v>120</v>
      </c>
      <c r="B26" s="86">
        <f>$L$4*B14-B12*$F$4</f>
        <v>800</v>
      </c>
      <c r="C26" s="86">
        <f t="shared" ref="C26:K26" si="8">$L$4*C14-C12*$F$4</f>
        <v>0</v>
      </c>
      <c r="D26" s="86">
        <f t="shared" si="8"/>
        <v>700</v>
      </c>
      <c r="E26" s="86">
        <f t="shared" si="8"/>
        <v>0</v>
      </c>
      <c r="F26" s="86">
        <f t="shared" si="8"/>
        <v>400</v>
      </c>
      <c r="G26" s="86">
        <f t="shared" si="8"/>
        <v>0</v>
      </c>
      <c r="H26" s="86">
        <f t="shared" si="8"/>
        <v>0</v>
      </c>
      <c r="I26" s="86">
        <f t="shared" si="8"/>
        <v>0</v>
      </c>
      <c r="J26" s="86">
        <f t="shared" si="8"/>
        <v>0</v>
      </c>
      <c r="K26" s="86">
        <f t="shared" si="8"/>
        <v>0</v>
      </c>
      <c r="L26" s="122"/>
    </row>
    <row r="27" spans="1:14" s="99" customFormat="1" ht="16" x14ac:dyDescent="0.2">
      <c r="A27" s="136" t="s">
        <v>126</v>
      </c>
      <c r="B27" s="137">
        <f>B13-B15</f>
        <v>0</v>
      </c>
      <c r="C27" s="137">
        <f t="shared" ref="C27:K27" si="9">C13-C15</f>
        <v>0</v>
      </c>
      <c r="D27" s="137">
        <f t="shared" si="9"/>
        <v>0</v>
      </c>
      <c r="E27" s="137">
        <f t="shared" si="9"/>
        <v>0</v>
      </c>
      <c r="F27" s="137">
        <f t="shared" si="9"/>
        <v>0</v>
      </c>
      <c r="G27" s="137">
        <f t="shared" si="9"/>
        <v>0</v>
      </c>
      <c r="H27" s="137">
        <f t="shared" si="9"/>
        <v>0</v>
      </c>
      <c r="I27" s="137">
        <f t="shared" si="9"/>
        <v>0</v>
      </c>
      <c r="J27" s="137">
        <f t="shared" si="9"/>
        <v>0</v>
      </c>
      <c r="K27" s="137">
        <f t="shared" si="9"/>
        <v>0</v>
      </c>
      <c r="L27" s="138">
        <f>SUM(B27:K27)</f>
        <v>0</v>
      </c>
    </row>
    <row r="28" spans="1:14" s="99" customFormat="1" ht="16" x14ac:dyDescent="0.2">
      <c r="A28" s="136" t="s">
        <v>127</v>
      </c>
      <c r="B28" s="137">
        <f>B14-B15</f>
        <v>1</v>
      </c>
      <c r="C28" s="137">
        <f t="shared" ref="C28:K28" si="10">C14-C15</f>
        <v>0</v>
      </c>
      <c r="D28" s="137">
        <f t="shared" si="10"/>
        <v>1</v>
      </c>
      <c r="E28" s="137">
        <f t="shared" si="10"/>
        <v>0</v>
      </c>
      <c r="F28" s="137">
        <f t="shared" si="10"/>
        <v>0</v>
      </c>
      <c r="G28" s="137">
        <f t="shared" si="10"/>
        <v>0</v>
      </c>
      <c r="H28" s="137">
        <f t="shared" si="10"/>
        <v>0</v>
      </c>
      <c r="I28" s="137">
        <f t="shared" si="10"/>
        <v>0</v>
      </c>
      <c r="J28" s="137">
        <f t="shared" si="10"/>
        <v>0</v>
      </c>
      <c r="K28" s="137">
        <f t="shared" si="10"/>
        <v>0</v>
      </c>
      <c r="L28" s="138">
        <f>SUM(B28:K28)</f>
        <v>2</v>
      </c>
    </row>
    <row r="29" spans="1:14" ht="17" thickBot="1" x14ac:dyDescent="0.25">
      <c r="A29" s="133" t="s">
        <v>111</v>
      </c>
      <c r="B29" s="94"/>
      <c r="C29" s="105"/>
      <c r="D29" s="105"/>
      <c r="E29" s="105"/>
      <c r="F29" s="105"/>
      <c r="G29" s="105"/>
      <c r="H29" s="105"/>
      <c r="I29" s="105"/>
      <c r="J29" s="105"/>
      <c r="K29" s="105"/>
      <c r="L29" s="88">
        <f>L10-L4</f>
        <v>150</v>
      </c>
    </row>
    <row r="32" spans="1:14" s="99" customFormat="1" x14ac:dyDescent="0.2">
      <c r="B32" s="99" t="s">
        <v>121</v>
      </c>
      <c r="E32" s="99" t="s">
        <v>122</v>
      </c>
      <c r="H32" s="99" t="s">
        <v>123</v>
      </c>
      <c r="J32" s="99" t="s">
        <v>124</v>
      </c>
      <c r="L32" s="99" t="s">
        <v>125</v>
      </c>
      <c r="N32" s="99" t="s">
        <v>128</v>
      </c>
    </row>
    <row r="33" spans="2:14" s="99" customFormat="1" x14ac:dyDescent="0.2">
      <c r="B33" s="134">
        <f>I4*L27</f>
        <v>0</v>
      </c>
      <c r="E33" s="135">
        <f>J4*L28</f>
        <v>2</v>
      </c>
      <c r="H33" s="135">
        <f>K4*L15</f>
        <v>400</v>
      </c>
      <c r="J33" s="135">
        <f>G4*E4*L11</f>
        <v>1500</v>
      </c>
      <c r="L33" s="135">
        <f>H4*F4*L12</f>
        <v>31900</v>
      </c>
      <c r="N33" s="135">
        <f>D4*L18</f>
        <v>160</v>
      </c>
    </row>
    <row r="34" spans="2:14" s="99" customFormat="1" x14ac:dyDescent="0.2"/>
    <row r="35" spans="2:14" ht="16" thickBot="1" x14ac:dyDescent="0.25"/>
    <row r="36" spans="2:14" ht="16" thickBot="1" x14ac:dyDescent="0.25">
      <c r="E36" s="78" t="s">
        <v>110</v>
      </c>
      <c r="F36" s="79">
        <f>B33+E33+H33+J33+L33+N33</f>
        <v>33962</v>
      </c>
    </row>
  </sheetData>
  <conditionalFormatting sqref="A3:D3">
    <cfRule type="expression" dxfId="15" priority="60">
      <formula>CELL("protect",A3)=0</formula>
    </cfRule>
  </conditionalFormatting>
  <conditionalFormatting sqref="F3 H3:K3">
    <cfRule type="expression" dxfId="14" priority="59">
      <formula>CELL("protect",F3)=0</formula>
    </cfRule>
  </conditionalFormatting>
  <conditionalFormatting sqref="G3">
    <cfRule type="expression" dxfId="13" priority="58">
      <formula>CELL("protect",G3)=0</formula>
    </cfRule>
  </conditionalFormatting>
  <conditionalFormatting sqref="E3">
    <cfRule type="expression" dxfId="12" priority="57">
      <formula>CELL("protect",E3)=0</formula>
    </cfRule>
  </conditionalFormatting>
  <conditionalFormatting sqref="B11:K12 B14:K18 B19:L19">
    <cfRule type="expression" dxfId="11" priority="54">
      <formula>INDEX(Name,$A11)=""</formula>
    </cfRule>
  </conditionalFormatting>
  <conditionalFormatting sqref="B13:K13">
    <cfRule type="expression" dxfId="10" priority="53">
      <formula>INDEX(Name,$A13)=""</formula>
    </cfRule>
  </conditionalFormatting>
  <conditionalFormatting sqref="B29:K29">
    <cfRule type="expression" dxfId="9" priority="52">
      <formula>INDEX(Name,$A29)=""</formula>
    </cfRule>
  </conditionalFormatting>
  <conditionalFormatting sqref="L3">
    <cfRule type="expression" dxfId="8" priority="50">
      <formula>CELL("protect",L3)=0</formula>
    </cfRule>
  </conditionalFormatting>
  <conditionalFormatting sqref="L10:L12 L14:L18">
    <cfRule type="expression" dxfId="7" priority="49">
      <formula>INDEX(Name,$A10)=""</formula>
    </cfRule>
  </conditionalFormatting>
  <conditionalFormatting sqref="L13">
    <cfRule type="expression" dxfId="6" priority="48">
      <formula>INDEX(Name,$A13)=""</formula>
    </cfRule>
  </conditionalFormatting>
  <conditionalFormatting sqref="L29">
    <cfRule type="expression" dxfId="5" priority="47">
      <formula>INDEX(Name,$A29)=""</formula>
    </cfRule>
  </conditionalFormatting>
  <conditionalFormatting sqref="B21:L21">
    <cfRule type="expression" dxfId="4" priority="149">
      <formula>INDEX(Name,$A20)=""</formula>
    </cfRule>
  </conditionalFormatting>
  <conditionalFormatting sqref="B20:L20">
    <cfRule type="expression" dxfId="3" priority="150">
      <formula>INDEX(Name,$A24)=""</formula>
    </cfRule>
  </conditionalFormatting>
  <conditionalFormatting sqref="B4:I4">
    <cfRule type="expression" dxfId="2" priority="2">
      <formula>INDEX(Name,$A4)=""</formula>
    </cfRule>
  </conditionalFormatting>
  <conditionalFormatting sqref="C4:D4">
    <cfRule type="expression" dxfId="1" priority="3">
      <formula>AND(OR($D4="FP",$D4="FQ"),$E4="")</formula>
    </cfRule>
  </conditionalFormatting>
  <conditionalFormatting sqref="B10:K10">
    <cfRule type="expression" dxfId="0" priority="1">
      <formula>INDEX(Name,$A10)=""</formula>
    </cfRule>
  </conditionalFormatting>
  <dataValidations count="3">
    <dataValidation type="whole" operator="greaterThanOrEqual" allowBlank="1" showInputMessage="1" showErrorMessage="1" errorTitle="Values" error="Input must be integer greater than or equal zero" sqref="B13:L13 H4" xr:uid="{FCB3780A-5325-4110-93BA-3B58CD3F70C1}">
      <formula1>0</formula1>
    </dataValidation>
    <dataValidation type="decimal" operator="greaterThanOrEqual" allowBlank="1" showInputMessage="1" showErrorMessage="1" errorTitle="Values" error="Input must be greater than or equal zero" sqref="I4" xr:uid="{B778A044-C049-4F70-B202-01E0B940057F}">
      <formula1>0</formula1>
    </dataValidation>
    <dataValidation type="whole" operator="greaterThanOrEqual" allowBlank="1" showInputMessage="1" showErrorMessage="1" error="Input must be integer greater than or equal zero" sqref="A4:F4" xr:uid="{C7B2ACE9-F9F8-441C-B18B-E882FD4A23E2}">
      <formula1>0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172</vt:i4>
      </vt:variant>
    </vt:vector>
  </HeadingPairs>
  <TitlesOfParts>
    <vt:vector size="188" baseType="lpstr">
      <vt:lpstr>Input</vt:lpstr>
      <vt:lpstr>Summary</vt:lpstr>
      <vt:lpstr>Item A</vt:lpstr>
      <vt:lpstr>Item B</vt:lpstr>
      <vt:lpstr>Item D</vt:lpstr>
      <vt:lpstr>Item C</vt:lpstr>
      <vt:lpstr>Item E</vt:lpstr>
      <vt:lpstr>Raw G</vt:lpstr>
      <vt:lpstr>Raw H</vt:lpstr>
      <vt:lpstr>Raw I</vt:lpstr>
      <vt:lpstr>Raw F</vt:lpstr>
      <vt:lpstr>WW</vt:lpstr>
      <vt:lpstr>S&amp;M</vt:lpstr>
      <vt:lpstr>FP</vt:lpstr>
      <vt:lpstr>LFL</vt:lpstr>
      <vt:lpstr>LP</vt:lpstr>
      <vt:lpstr>B1_F</vt:lpstr>
      <vt:lpstr>B1_G</vt:lpstr>
      <vt:lpstr>B1_H</vt:lpstr>
      <vt:lpstr>B1_I</vt:lpstr>
      <vt:lpstr>B1_t</vt:lpstr>
      <vt:lpstr>B1t</vt:lpstr>
      <vt:lpstr>B2_F</vt:lpstr>
      <vt:lpstr>B2_G</vt:lpstr>
      <vt:lpstr>B2_H</vt:lpstr>
      <vt:lpstr>B2_I</vt:lpstr>
      <vt:lpstr>B2t</vt:lpstr>
      <vt:lpstr>D_A</vt:lpstr>
      <vt:lpstr>D_B</vt:lpstr>
      <vt:lpstr>D_C</vt:lpstr>
      <vt:lpstr>D_D</vt:lpstr>
      <vt:lpstr>D_E</vt:lpstr>
      <vt:lpstr>D_F</vt:lpstr>
      <vt:lpstr>D_G</vt:lpstr>
      <vt:lpstr>D_H</vt:lpstr>
      <vt:lpstr>D_I</vt:lpstr>
      <vt:lpstr>DATA_A</vt:lpstr>
      <vt:lpstr>DATA_B</vt:lpstr>
      <vt:lpstr>DATA_C</vt:lpstr>
      <vt:lpstr>DATA_D</vt:lpstr>
      <vt:lpstr>DATA_E</vt:lpstr>
      <vt:lpstr>DATA_F</vt:lpstr>
      <vt:lpstr>DATA_G</vt:lpstr>
      <vt:lpstr>DATA_H</vt:lpstr>
      <vt:lpstr>DATA_I</vt:lpstr>
      <vt:lpstr>DATA_LP</vt:lpstr>
      <vt:lpstr>DATA_LP1</vt:lpstr>
      <vt:lpstr>DEMAND_A</vt:lpstr>
      <vt:lpstr>DEMAND_B</vt:lpstr>
      <vt:lpstr>DEMAND_C</vt:lpstr>
      <vt:lpstr>DEMAND_D</vt:lpstr>
      <vt:lpstr>DEMAND_E</vt:lpstr>
      <vt:lpstr>DEMAND_F</vt:lpstr>
      <vt:lpstr>DEMAND_G</vt:lpstr>
      <vt:lpstr>DEMAND_H</vt:lpstr>
      <vt:lpstr>DEMAND_I</vt:lpstr>
      <vt:lpstr>EXD_A</vt:lpstr>
      <vt:lpstr>EXD_B</vt:lpstr>
      <vt:lpstr>EXD_C</vt:lpstr>
      <vt:lpstr>EXD_D</vt:lpstr>
      <vt:lpstr>EXD_E</vt:lpstr>
      <vt:lpstr>EXD_F</vt:lpstr>
      <vt:lpstr>EXD_G</vt:lpstr>
      <vt:lpstr>EXD_H</vt:lpstr>
      <vt:lpstr>EXD_I</vt:lpstr>
      <vt:lpstr>Final_A</vt:lpstr>
      <vt:lpstr>Final_B</vt:lpstr>
      <vt:lpstr>Final_C</vt:lpstr>
      <vt:lpstr>Final_D</vt:lpstr>
      <vt:lpstr>Final_E</vt:lpstr>
      <vt:lpstr>Final_F</vt:lpstr>
      <vt:lpstr>Final_G</vt:lpstr>
      <vt:lpstr>Final_H</vt:lpstr>
      <vt:lpstr>Final_I</vt:lpstr>
      <vt:lpstr>FP_size</vt:lpstr>
      <vt:lpstr>G</vt:lpstr>
      <vt:lpstr>h_FP</vt:lpstr>
      <vt:lpstr>h_ITEM</vt:lpstr>
      <vt:lpstr>h_LFL</vt:lpstr>
      <vt:lpstr>h_SM</vt:lpstr>
      <vt:lpstr>h_WW</vt:lpstr>
      <vt:lpstr>IND_A</vt:lpstr>
      <vt:lpstr>IND_B</vt:lpstr>
      <vt:lpstr>IND_C</vt:lpstr>
      <vt:lpstr>IND_D</vt:lpstr>
      <vt:lpstr>IND_E</vt:lpstr>
      <vt:lpstr>IND_F</vt:lpstr>
      <vt:lpstr>IND_G</vt:lpstr>
      <vt:lpstr>IND_H</vt:lpstr>
      <vt:lpstr>IND_I</vt:lpstr>
      <vt:lpstr>INDex</vt:lpstr>
      <vt:lpstr>INDeX0</vt:lpstr>
      <vt:lpstr>Items</vt:lpstr>
      <vt:lpstr>k_FP</vt:lpstr>
      <vt:lpstr>k_ITEM</vt:lpstr>
      <vt:lpstr>k_LFL</vt:lpstr>
      <vt:lpstr>k_SM</vt:lpstr>
      <vt:lpstr>k_WW</vt:lpstr>
      <vt:lpstr>L.T_ITEM</vt:lpstr>
      <vt:lpstr>LOTSIZE_TYPE</vt:lpstr>
      <vt:lpstr>min_cost</vt:lpstr>
      <vt:lpstr>min_cost0</vt:lpstr>
      <vt:lpstr>mincost</vt:lpstr>
      <vt:lpstr>OH_ITEM</vt:lpstr>
      <vt:lpstr>OLAV_A</vt:lpstr>
      <vt:lpstr>OLAV_B</vt:lpstr>
      <vt:lpstr>OLAV_C</vt:lpstr>
      <vt:lpstr>OLAV_D</vt:lpstr>
      <vt:lpstr>OLAV_E</vt:lpstr>
      <vt:lpstr>OLAV_F</vt:lpstr>
      <vt:lpstr>OLAV_G</vt:lpstr>
      <vt:lpstr>OLAV_H</vt:lpstr>
      <vt:lpstr>OLAV_I</vt:lpstr>
      <vt:lpstr>pre</vt:lpstr>
      <vt:lpstr>pre_SM</vt:lpstr>
      <vt:lpstr>Q_A</vt:lpstr>
      <vt:lpstr>Q_B</vt:lpstr>
      <vt:lpstr>Q_C</vt:lpstr>
      <vt:lpstr>Q_D</vt:lpstr>
      <vt:lpstr>Q_E</vt:lpstr>
      <vt:lpstr>Q_F</vt:lpstr>
      <vt:lpstr>Q_FP</vt:lpstr>
      <vt:lpstr>Q_G</vt:lpstr>
      <vt:lpstr>Q_H</vt:lpstr>
      <vt:lpstr>Q_I</vt:lpstr>
      <vt:lpstr>Q_LFL</vt:lpstr>
      <vt:lpstr>Q_LP</vt:lpstr>
      <vt:lpstr>Q_SM</vt:lpstr>
      <vt:lpstr>Q_SM1</vt:lpstr>
      <vt:lpstr>Q_WW</vt:lpstr>
      <vt:lpstr>Q_WW0</vt:lpstr>
      <vt:lpstr>Q_WW1</vt:lpstr>
      <vt:lpstr>R_A</vt:lpstr>
      <vt:lpstr>R_B</vt:lpstr>
      <vt:lpstr>R_C</vt:lpstr>
      <vt:lpstr>R_D</vt:lpstr>
      <vt:lpstr>R_E</vt:lpstr>
      <vt:lpstr>R_F</vt:lpstr>
      <vt:lpstr>R_G</vt:lpstr>
      <vt:lpstr>R_H</vt:lpstr>
      <vt:lpstr>R_I</vt:lpstr>
      <vt:lpstr>RAW_TYPE</vt:lpstr>
      <vt:lpstr>SS_ITEM</vt:lpstr>
      <vt:lpstr>Stam</vt:lpstr>
      <vt:lpstr>TRANS_DATA_A</vt:lpstr>
      <vt:lpstr>TRANS_DATA_B</vt:lpstr>
      <vt:lpstr>TRANS_DATA_C</vt:lpstr>
      <vt:lpstr>TRANS_DATA_D</vt:lpstr>
      <vt:lpstr>TRANS_DATA_E</vt:lpstr>
      <vt:lpstr>TRANS_DATA_F</vt:lpstr>
      <vt:lpstr>TRANS_DATA_G</vt:lpstr>
      <vt:lpstr>TRANS_DATA_H</vt:lpstr>
      <vt:lpstr>TRANS_DATA_I</vt:lpstr>
      <vt:lpstr>V_FP</vt:lpstr>
      <vt:lpstr>V_LFL</vt:lpstr>
      <vt:lpstr>V_SM</vt:lpstr>
      <vt:lpstr>V_SM1</vt:lpstr>
      <vt:lpstr>V_WW</vt:lpstr>
      <vt:lpstr>V_WW0</vt:lpstr>
      <vt:lpstr>V_WW1</vt:lpstr>
      <vt:lpstr>VT_A</vt:lpstr>
      <vt:lpstr>VT_B</vt:lpstr>
      <vt:lpstr>VT_C</vt:lpstr>
      <vt:lpstr>VT_D</vt:lpstr>
      <vt:lpstr>VT_E</vt:lpstr>
      <vt:lpstr>VT_F</vt:lpstr>
      <vt:lpstr>VT_G</vt:lpstr>
      <vt:lpstr>VT_H</vt:lpstr>
      <vt:lpstr>VT_I</vt:lpstr>
      <vt:lpstr>VT_LP</vt:lpstr>
      <vt:lpstr>X_A</vt:lpstr>
      <vt:lpstr>X_B</vt:lpstr>
      <vt:lpstr>X_C</vt:lpstr>
      <vt:lpstr>X_D</vt:lpstr>
      <vt:lpstr>X_E</vt:lpstr>
      <vt:lpstr>X_F</vt:lpstr>
      <vt:lpstr>X_G</vt:lpstr>
      <vt:lpstr>X_H</vt:lpstr>
      <vt:lpstr>X_I</vt:lpstr>
      <vt:lpstr>Y_A</vt:lpstr>
      <vt:lpstr>Y_B</vt:lpstr>
      <vt:lpstr>Y_C</vt:lpstr>
      <vt:lpstr>Y_D</vt:lpstr>
      <vt:lpstr>Y_E</vt:lpstr>
      <vt:lpstr>Y_F</vt:lpstr>
      <vt:lpstr>Y_G</vt:lpstr>
      <vt:lpstr>Y_H</vt:lpstr>
      <vt:lpstr>Y_I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cp:keywords/>
  <dc:description/>
  <cp:lastModifiedBy>Microsoft Office User</cp:lastModifiedBy>
  <dcterms:created xsi:type="dcterms:W3CDTF">2022-04-04T09:37:27Z</dcterms:created>
  <dcterms:modified xsi:type="dcterms:W3CDTF">2022-11-16T11:26:31Z</dcterms:modified>
  <cp:category/>
</cp:coreProperties>
</file>